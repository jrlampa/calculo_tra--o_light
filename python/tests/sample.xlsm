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im3brasil-my.sharepoint.com/personal/jonatas_lampa_im3brasil_com_br/Documents/LIGHT/PROJETOS/AP COSMO LINHA NOVA 3/CALC TRAÇÃO/AP COSMO LDANOVA 03 - PROJETO 5/"/>
    </mc:Choice>
  </mc:AlternateContent>
  <xr:revisionPtr revIDLastSave="7" documentId="8_{DDD5D847-3910-4EC3-8AA7-F8BEDB214DD1}" xr6:coauthVersionLast="47" xr6:coauthVersionMax="47" xr10:uidLastSave="{AAA243B3-F2CC-4A61-AF89-96F1E5B59244}"/>
  <bookViews>
    <workbookView xWindow="22932" yWindow="-108" windowWidth="13176" windowHeight="22536" tabRatio="844" activeTab="2" xr2:uid="{00000000-000D-0000-FFFF-FFFF00000000}"/>
  </bookViews>
  <sheets>
    <sheet name="Plan1" sheetId="7" r:id="rId1"/>
    <sheet name="Plan4" sheetId="11" r:id="rId2"/>
    <sheet name="Ponto (1)" sheetId="9" r:id="rId3"/>
  </sheets>
  <definedNames>
    <definedName name="_xlnm.Print_Area" localSheetId="2">'Ponto (1)'!$B$1:$M$133</definedName>
    <definedName name="coin_cuttype" localSheetId="2" hidden="1">1</definedName>
    <definedName name="coin_dualtol" localSheetId="2" hidden="1">"0.0000001"</definedName>
    <definedName name="coin_heurs" localSheetId="2" hidden="1">1</definedName>
    <definedName name="coin_integerpresolve" localSheetId="2" hidden="1">1</definedName>
    <definedName name="coin_presolve1" localSheetId="2" hidden="1">1</definedName>
    <definedName name="coin_primaltol" localSheetId="2" hidden="1">"0.0000001"</definedName>
    <definedName name="Poste">OFFSET(Plan4!$A$20,1,MATCH('Ponto (1)'!$C$7,Plan4!$A$20:$D$20,0)-1,12,1)</definedName>
    <definedName name="solver_adj" localSheetId="2" hidden="1">'Ponto (1)'!$F$15</definedName>
    <definedName name="solver_adj1" localSheetId="2" hidden="1">'Ponto (1)'!$C$41</definedName>
    <definedName name="solver_adj2" localSheetId="2" hidden="1">'Ponto (1)'!$F$41</definedName>
    <definedName name="solver_cvg" localSheetId="2" hidden="1">"0.0001"</definedName>
    <definedName name="solver_eng" localSheetId="2" hidden="1">0</definedName>
    <definedName name="solver_est" localSheetId="2" hidden="1">1</definedName>
    <definedName name="solver_kiv" localSheetId="2" hidden="1">2E+30</definedName>
    <definedName name="solver_lhs1" localSheetId="2" hidden="1">'Ponto (1)'!$F$15</definedName>
    <definedName name="solver_lhs2" localSheetId="2" hidden="1">'Ponto (1)'!$C$41</definedName>
    <definedName name="solver_lhs3" localSheetId="2" hidden="1">'Ponto (1)'!$F$41</definedName>
    <definedName name="solver_lhs4" localSheetId="2" hidden="1">'Ponto (1)'!$F$15</definedName>
    <definedName name="solver_lhs5" localSheetId="2" hidden="1">'Ponto (1)'!$C$15</definedName>
    <definedName name="solver_lhs6" localSheetId="2" hidden="1">'Ponto (1)'!$C$41</definedName>
    <definedName name="solver_lhs7" localSheetId="2" hidden="1">'Ponto (1)'!$F$41</definedName>
    <definedName name="solver_lhs8" localSheetId="2" hidden="1">'Ponto (1)'!$L$41</definedName>
    <definedName name="solver_mni" localSheetId="2" hidden="1">30</definedName>
    <definedName name="solver_mrt" localSheetId="2" hidden="1">"0.075"</definedName>
    <definedName name="solver_msl" localSheetId="2" hidden="1">0</definedName>
    <definedName name="solver_neg" localSheetId="2" hidden="1">1</definedName>
    <definedName name="solver_ntr" localSheetId="2" hidden="1">1</definedName>
    <definedName name="solver_num" localSheetId="2" hidden="1">3</definedName>
    <definedName name="solver_nwt" localSheetId="2" hidden="1">1</definedName>
    <definedName name="solver_opt" localSheetId="2" hidden="1">'Ponto (1)'!$F$7</definedName>
    <definedName name="solver_pre" localSheetId="2" hidden="1">"0.000001"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hs1" localSheetId="2" hidden="1">0.99</definedName>
    <definedName name="solver_rhs2" localSheetId="2" hidden="1">0.99</definedName>
    <definedName name="solver_rhs3" localSheetId="2" hidden="1">0.99</definedName>
    <definedName name="solver_rhs4" localSheetId="2" hidden="1">0.3</definedName>
    <definedName name="solver_rhs5" localSheetId="2" hidden="1">0.3</definedName>
    <definedName name="solver_rhs6" localSheetId="2" hidden="1">0.3</definedName>
    <definedName name="solver_rhs7" localSheetId="2" hidden="1">0.3</definedName>
    <definedName name="solver_rhs8" localSheetId="2" hidden="1">0.9</definedName>
    <definedName name="solver_rlx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c4" localSheetId="2" hidden="1">1</definedName>
    <definedName name="solver_rxc5" localSheetId="2" hidden="1">1</definedName>
    <definedName name="solver_rxc6" localSheetId="2" hidden="1">1</definedName>
    <definedName name="solver_rxc7" localSheetId="2" hidden="1">1</definedName>
    <definedName name="solver_rxv" localSheetId="2" hidden="1">1</definedName>
    <definedName name="solver_rxv1" localSheetId="2" hidden="1">1</definedName>
    <definedName name="solver_rxv2" localSheetId="2" hidden="1">1</definedName>
    <definedName name="solver_scl" localSheetId="2" hidden="1">0</definedName>
    <definedName name="solver_tms" localSheetId="2" hidden="1">0</definedName>
    <definedName name="solver_tol" localSheetId="2" hidden="1">0</definedName>
    <definedName name="solver_typ" localSheetId="2" hidden="1">2</definedName>
    <definedName name="solver_val" localSheetId="2" hidden="1">0</definedName>
    <definedName name="Tipo">OFFSET(Plan4!$A$1,1,MATCH('Ponto (1)'!$C$12,Plan4!$A$1:$C$1,0)-1,8,1)</definedName>
    <definedName name="Tipo10">OFFSET(Plan4!$A$13,1,MATCH('Ponto (1)'!$F$64,Plan4!$A$13:$C$13,0)-1,3,1)</definedName>
    <definedName name="Tipo11">OFFSET(Plan4!$A$13,1,MATCH('Ponto (1)'!$I$64,Plan4!$A$13:$C$13,0)-1,3,1)</definedName>
    <definedName name="Tipo12">OFFSET(Plan4!$A$13,1,MATCH('Ponto (1)'!$L$64,Plan4!$A$13:$C$13,0)-1,3,1)</definedName>
    <definedName name="Tipo2">OFFSET(Plan4!$A$1,1,MATCH('Ponto (1)'!$F$12,Plan4!$A$1:$C$1,0)-1,8,1)</definedName>
    <definedName name="Tipo3">OFFSET(Plan4!$A$1,1,MATCH('Ponto (1)'!$I$12,Plan4!$A$1:$C$1,0)-1,8,1)</definedName>
    <definedName name="Tipo4">OFFSET(Plan4!$A$1,1,MATCH('Ponto (1)'!$L$12,Plan4!$A$1:$C$1,0)-1,8,1)</definedName>
    <definedName name="tipo5">OFFSET(Plan4!$A$1,1,MATCH('Ponto (1)'!$C$38,Plan4!$A$1:$C$1,0)-1,8,1)</definedName>
    <definedName name="Tipo6">OFFSET(Plan4!$A$1,1,MATCH('Ponto (1)'!$F$38,Plan4!$A$1:$C$1,0)-1,8,1)</definedName>
    <definedName name="Tipo7">OFFSET(Plan4!$A$1,1,MATCH('Ponto (1)'!$I$38,Plan4!$A$1:$C$1,0)-1,8,1)</definedName>
    <definedName name="Tipo8">OFFSET(Plan4!$A$1,1,MATCH('Ponto (1)'!$L$38,Plan4!$A$1:$C$1,0)-1,8,1)</definedName>
    <definedName name="Tipo9">OFFSET(Plan4!$A$13,1,MATCH('Ponto (1)'!$C$64,Plan4!$A$13:$C$13,0)-1,3,1)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9" l="1"/>
  <c r="F16" i="9"/>
  <c r="F68" i="9" s="1"/>
  <c r="I68" i="9"/>
  <c r="F67" i="9"/>
  <c r="F66" i="9"/>
  <c r="C69" i="9"/>
  <c r="C67" i="9"/>
  <c r="C68" i="9"/>
  <c r="C66" i="9"/>
  <c r="C78" i="9"/>
  <c r="L97" i="9" l="1"/>
  <c r="I97" i="9"/>
  <c r="F97" i="9"/>
  <c r="C96" i="9"/>
  <c r="C149" i="9"/>
  <c r="O83" i="7" l="1"/>
  <c r="O79" i="7"/>
  <c r="T79" i="7" l="1"/>
  <c r="U78" i="7"/>
  <c r="T78" i="7"/>
  <c r="Q83" i="7"/>
  <c r="Q84" i="7" s="1"/>
  <c r="O76" i="7"/>
  <c r="Q81" i="7"/>
  <c r="V78" i="7" l="1"/>
  <c r="O84" i="7"/>
  <c r="O80" i="7"/>
  <c r="V81" i="7" l="1"/>
  <c r="E42" i="7"/>
  <c r="D42" i="7"/>
  <c r="E43" i="7"/>
  <c r="D43" i="7"/>
  <c r="E44" i="7"/>
  <c r="D44" i="7"/>
  <c r="E45" i="7"/>
  <c r="D45" i="7"/>
  <c r="C97" i="9"/>
  <c r="D32" i="7"/>
  <c r="D33" i="7"/>
  <c r="D37" i="7" l="1"/>
  <c r="D36" i="7"/>
  <c r="D35" i="7"/>
  <c r="D34" i="7"/>
  <c r="E39" i="7"/>
  <c r="D39" i="7"/>
  <c r="E40" i="7"/>
  <c r="D40" i="7"/>
  <c r="E41" i="7"/>
  <c r="D41" i="7"/>
  <c r="C19" i="9" l="1"/>
  <c r="C71" i="9" s="1"/>
  <c r="C20" i="9"/>
  <c r="C72" i="9" s="1"/>
  <c r="C21" i="9"/>
  <c r="C73" i="9" s="1"/>
  <c r="C22" i="9"/>
  <c r="C74" i="9" s="1"/>
  <c r="C23" i="9"/>
  <c r="C75" i="9" s="1"/>
  <c r="C45" i="9"/>
  <c r="C46" i="9"/>
  <c r="C47" i="9"/>
  <c r="C48" i="9"/>
  <c r="C49" i="9"/>
  <c r="C52" i="9"/>
  <c r="L75" i="9"/>
  <c r="L74" i="9"/>
  <c r="L73" i="9"/>
  <c r="L72" i="9"/>
  <c r="L71" i="9"/>
  <c r="I75" i="9"/>
  <c r="I74" i="9"/>
  <c r="I73" i="9"/>
  <c r="I72" i="9"/>
  <c r="I71" i="9"/>
  <c r="L49" i="9"/>
  <c r="L48" i="9"/>
  <c r="L47" i="9"/>
  <c r="L46" i="9"/>
  <c r="L45" i="9"/>
  <c r="I49" i="9"/>
  <c r="I48" i="9"/>
  <c r="I47" i="9"/>
  <c r="I46" i="9"/>
  <c r="I45" i="9"/>
  <c r="F49" i="9"/>
  <c r="F48" i="9"/>
  <c r="F47" i="9"/>
  <c r="F46" i="9"/>
  <c r="F45" i="9"/>
  <c r="C26" i="9"/>
  <c r="F19" i="9"/>
  <c r="F20" i="9"/>
  <c r="F21" i="9"/>
  <c r="F22" i="9"/>
  <c r="F23" i="9"/>
  <c r="F26" i="9"/>
  <c r="F71" i="9"/>
  <c r="F72" i="9"/>
  <c r="F73" i="9"/>
  <c r="F74" i="9"/>
  <c r="F75" i="9"/>
  <c r="C98" i="9"/>
  <c r="C99" i="9"/>
  <c r="C102" i="9"/>
  <c r="F96" i="9"/>
  <c r="F98" i="9"/>
  <c r="F101" i="9" s="1"/>
  <c r="F105" i="9" s="1"/>
  <c r="F107" i="9" s="1"/>
  <c r="F99" i="9"/>
  <c r="C121" i="9"/>
  <c r="C122" i="9"/>
  <c r="C123" i="9" s="1"/>
  <c r="C126" i="9" s="1"/>
  <c r="C125" i="9"/>
  <c r="F121" i="9"/>
  <c r="F124" i="9" s="1"/>
  <c r="F128" i="9" s="1"/>
  <c r="F122" i="9"/>
  <c r="F123" i="9" s="1"/>
  <c r="L78" i="9"/>
  <c r="I78" i="9"/>
  <c r="F78" i="9"/>
  <c r="L125" i="9"/>
  <c r="L122" i="9"/>
  <c r="L123" i="9" s="1"/>
  <c r="L121" i="9"/>
  <c r="L124" i="9" s="1"/>
  <c r="L128" i="9" s="1"/>
  <c r="I125" i="9"/>
  <c r="I122" i="9"/>
  <c r="I123" i="9" s="1"/>
  <c r="I121" i="9"/>
  <c r="I124" i="9" s="1"/>
  <c r="I128" i="9" s="1"/>
  <c r="F125" i="9"/>
  <c r="L102" i="9"/>
  <c r="L100" i="9"/>
  <c r="L103" i="9" s="1"/>
  <c r="I102" i="9"/>
  <c r="F102" i="9"/>
  <c r="L99" i="9"/>
  <c r="L98" i="9"/>
  <c r="L96" i="9"/>
  <c r="I99" i="9"/>
  <c r="I100" i="9" s="1"/>
  <c r="I98" i="9"/>
  <c r="I101" i="9" s="1"/>
  <c r="I105" i="9" s="1"/>
  <c r="I96" i="9"/>
  <c r="L77" i="9" l="1"/>
  <c r="L81" i="9" s="1"/>
  <c r="L83" i="9" s="1"/>
  <c r="L76" i="9"/>
  <c r="L80" i="9" s="1"/>
  <c r="L101" i="9"/>
  <c r="L105" i="9" s="1"/>
  <c r="L106" i="9" s="1"/>
  <c r="C124" i="9"/>
  <c r="C128" i="9" s="1"/>
  <c r="L79" i="9"/>
  <c r="I77" i="9"/>
  <c r="I81" i="9" s="1"/>
  <c r="I83" i="9" s="1"/>
  <c r="I76" i="9"/>
  <c r="L127" i="9"/>
  <c r="L126" i="9"/>
  <c r="L130" i="9"/>
  <c r="L129" i="9"/>
  <c r="I127" i="9"/>
  <c r="I126" i="9"/>
  <c r="I129" i="9"/>
  <c r="I130" i="9"/>
  <c r="L107" i="9"/>
  <c r="L104" i="9"/>
  <c r="I104" i="9"/>
  <c r="I103" i="9"/>
  <c r="I107" i="9"/>
  <c r="I106" i="9"/>
  <c r="F100" i="9"/>
  <c r="F104" i="9" s="1"/>
  <c r="C50" i="9"/>
  <c r="C54" i="9" s="1"/>
  <c r="C51" i="9"/>
  <c r="C55" i="9" s="1"/>
  <c r="C56" i="9" s="1"/>
  <c r="F24" i="9"/>
  <c r="F27" i="9" s="1"/>
  <c r="F77" i="9"/>
  <c r="F81" i="9" s="1"/>
  <c r="F83" i="9" s="1"/>
  <c r="C100" i="9"/>
  <c r="C103" i="9" s="1"/>
  <c r="C101" i="9"/>
  <c r="C105" i="9" s="1"/>
  <c r="C106" i="9" s="1"/>
  <c r="C24" i="9"/>
  <c r="C76" i="9" s="1"/>
  <c r="C25" i="9"/>
  <c r="C77" i="9" s="1"/>
  <c r="F25" i="9"/>
  <c r="F29" i="9" s="1"/>
  <c r="C127" i="9"/>
  <c r="F106" i="9"/>
  <c r="F76" i="9"/>
  <c r="F80" i="9" s="1"/>
  <c r="F129" i="9"/>
  <c r="F130" i="9"/>
  <c r="F127" i="9"/>
  <c r="F126" i="9"/>
  <c r="L82" i="9" l="1"/>
  <c r="F103" i="9"/>
  <c r="C129" i="9"/>
  <c r="C130" i="9"/>
  <c r="C27" i="9"/>
  <c r="C79" i="9" s="1"/>
  <c r="C28" i="9"/>
  <c r="C80" i="9" s="1"/>
  <c r="I82" i="9"/>
  <c r="I80" i="9"/>
  <c r="I79" i="9"/>
  <c r="C107" i="9"/>
  <c r="C53" i="9"/>
  <c r="F28" i="9"/>
  <c r="C57" i="9"/>
  <c r="F82" i="9"/>
  <c r="C104" i="9"/>
  <c r="F30" i="9"/>
  <c r="F31" i="9"/>
  <c r="F79" i="9"/>
  <c r="L52" i="9"/>
  <c r="L51" i="9"/>
  <c r="L55" i="9" s="1"/>
  <c r="L50" i="9"/>
  <c r="L54" i="9" s="1"/>
  <c r="I52" i="9"/>
  <c r="I51" i="9"/>
  <c r="I55" i="9" s="1"/>
  <c r="I57" i="9" s="1"/>
  <c r="I50" i="9"/>
  <c r="F52" i="9"/>
  <c r="F50" i="9"/>
  <c r="F51" i="9"/>
  <c r="F55" i="9" s="1"/>
  <c r="L23" i="9"/>
  <c r="L22" i="9"/>
  <c r="I23" i="9"/>
  <c r="I22" i="9"/>
  <c r="L26" i="9"/>
  <c r="I26" i="9"/>
  <c r="L21" i="9"/>
  <c r="L20" i="9"/>
  <c r="L19" i="9"/>
  <c r="I21" i="9"/>
  <c r="I20" i="9"/>
  <c r="I19" i="9"/>
  <c r="C131" i="9" l="1"/>
  <c r="C108" i="9"/>
  <c r="F110" i="9" s="1"/>
  <c r="L57" i="9"/>
  <c r="L56" i="9"/>
  <c r="L53" i="9"/>
  <c r="I54" i="9"/>
  <c r="L25" i="9"/>
  <c r="L29" i="9" s="1"/>
  <c r="L31" i="9" s="1"/>
  <c r="L24" i="9"/>
  <c r="L27" i="9" s="1"/>
  <c r="I56" i="9"/>
  <c r="I53" i="9"/>
  <c r="I25" i="9"/>
  <c r="I29" i="9" s="1"/>
  <c r="I31" i="9" s="1"/>
  <c r="I24" i="9"/>
  <c r="I28" i="9" s="1"/>
  <c r="F56" i="9"/>
  <c r="F57" i="9"/>
  <c r="F54" i="9"/>
  <c r="F53" i="9"/>
  <c r="D15" i="7"/>
  <c r="F109" i="9" l="1"/>
  <c r="L28" i="9"/>
  <c r="C58" i="9"/>
  <c r="F60" i="9" s="1"/>
  <c r="L30" i="9"/>
  <c r="I30" i="9"/>
  <c r="I27" i="9"/>
  <c r="B147" i="9" l="1"/>
  <c r="L138" i="9"/>
  <c r="L137" i="9"/>
  <c r="F133" i="9"/>
  <c r="F59" i="9"/>
  <c r="B145" i="9" l="1"/>
  <c r="F137" i="9"/>
  <c r="F138" i="9"/>
  <c r="F132" i="9"/>
  <c r="E34" i="7"/>
  <c r="E35" i="7"/>
  <c r="E36" i="7"/>
  <c r="E37" i="7"/>
  <c r="E38" i="7"/>
  <c r="E31" i="7"/>
  <c r="E30" i="7"/>
  <c r="E33" i="7"/>
  <c r="E32" i="7"/>
  <c r="E22" i="7"/>
  <c r="E21" i="7"/>
  <c r="E20" i="7"/>
  <c r="E50" i="7"/>
  <c r="E49" i="7"/>
  <c r="E48" i="7"/>
  <c r="E47" i="7"/>
  <c r="E19" i="7"/>
  <c r="E18" i="7"/>
  <c r="E17" i="7"/>
  <c r="E16" i="7"/>
  <c r="E15" i="7"/>
  <c r="E13" i="7"/>
  <c r="E12" i="7"/>
  <c r="E11" i="7"/>
  <c r="E10" i="7"/>
  <c r="E9" i="7"/>
  <c r="E8" i="7"/>
  <c r="E7" i="7"/>
  <c r="E6" i="7"/>
  <c r="E5" i="7"/>
  <c r="E4" i="7"/>
  <c r="E3" i="7"/>
  <c r="D38" i="7"/>
  <c r="D31" i="7"/>
  <c r="D30" i="7"/>
  <c r="D22" i="7"/>
  <c r="D21" i="7"/>
  <c r="D20" i="7"/>
  <c r="D50" i="7"/>
  <c r="D49" i="7"/>
  <c r="D48" i="7"/>
  <c r="D47" i="7"/>
  <c r="D19" i="7"/>
  <c r="D18" i="7"/>
  <c r="D17" i="7"/>
  <c r="D16" i="7"/>
  <c r="D13" i="7"/>
  <c r="D12" i="7"/>
  <c r="D11" i="7"/>
  <c r="D10" i="7"/>
  <c r="D9" i="7"/>
  <c r="D8" i="7"/>
  <c r="D7" i="7"/>
  <c r="D6" i="7"/>
  <c r="D5" i="7"/>
  <c r="D4" i="7"/>
  <c r="D3" i="7"/>
  <c r="B148" i="9" l="1"/>
  <c r="O137" i="9"/>
  <c r="O138" i="9"/>
  <c r="C29" i="9"/>
  <c r="C81" i="9" s="1"/>
  <c r="C30" i="9" l="1"/>
  <c r="C82" i="9" s="1"/>
  <c r="C31" i="9"/>
  <c r="C83" i="9" s="1"/>
  <c r="C32" i="9" l="1"/>
  <c r="C84" i="9" s="1"/>
  <c r="F33" i="9" l="1"/>
  <c r="F86" i="9"/>
  <c r="F34" i="9"/>
  <c r="F85" i="9"/>
  <c r="D138" i="9" l="1"/>
  <c r="B144" i="9"/>
  <c r="D137" i="9"/>
  <c r="I138" i="9"/>
  <c r="I137" i="9"/>
  <c r="B146" i="9"/>
  <c r="C140" i="9" l="1"/>
  <c r="F7" i="9" s="1"/>
  <c r="C141" i="9" l="1"/>
  <c r="B143" i="9" s="1"/>
</calcChain>
</file>

<file path=xl/sharedStrings.xml><?xml version="1.0" encoding="utf-8"?>
<sst xmlns="http://schemas.openxmlformats.org/spreadsheetml/2006/main" count="523" uniqueCount="136">
  <si>
    <t>kg/m</t>
  </si>
  <si>
    <t>daN</t>
  </si>
  <si>
    <t>m</t>
  </si>
  <si>
    <t>Vão</t>
  </si>
  <si>
    <t>Flecha</t>
  </si>
  <si>
    <t>°</t>
  </si>
  <si>
    <t>Diâmetro do cabo</t>
  </si>
  <si>
    <t>Pressão do vento por unidade de área</t>
  </si>
  <si>
    <t>daN/m2</t>
  </si>
  <si>
    <t>Altura ancoragem</t>
  </si>
  <si>
    <t>Altura poste</t>
  </si>
  <si>
    <t>Tração dos condutores</t>
  </si>
  <si>
    <t>16 mm² - Tetrapolar</t>
  </si>
  <si>
    <t>16 mm² - Bipolar</t>
  </si>
  <si>
    <t>Diâmetros</t>
  </si>
  <si>
    <t>Qtd fios</t>
  </si>
  <si>
    <t>Mín</t>
  </si>
  <si>
    <t>Máx</t>
  </si>
  <si>
    <t>Peso Total</t>
  </si>
  <si>
    <t>Diâmetro Total</t>
  </si>
  <si>
    <t>T1</t>
  </si>
  <si>
    <t>T2</t>
  </si>
  <si>
    <t>T3</t>
  </si>
  <si>
    <t>556MCM-CA, Nu</t>
  </si>
  <si>
    <t>397MCM-CA, Nu</t>
  </si>
  <si>
    <t>1/0AWG-CAA, Nu</t>
  </si>
  <si>
    <t>4 AWG-CAA, Nu</t>
  </si>
  <si>
    <t xml:space="preserve">240mm², MTX-BT </t>
  </si>
  <si>
    <t xml:space="preserve">185mm², MTX-BT </t>
  </si>
  <si>
    <t xml:space="preserve">70mm², MTX-BT </t>
  </si>
  <si>
    <t xml:space="preserve">4/0-AWG, MTX-BT </t>
  </si>
  <si>
    <t xml:space="preserve">3/0-AWG, MTX-BT </t>
  </si>
  <si>
    <t xml:space="preserve">1/0-AWG, MTX-BT </t>
  </si>
  <si>
    <t xml:space="preserve">4-AWG, MTX-BT </t>
  </si>
  <si>
    <t xml:space="preserve">Cabo armado 240mm² </t>
  </si>
  <si>
    <t xml:space="preserve">Cabo armado 95mm² </t>
  </si>
  <si>
    <t xml:space="preserve">Cordoalha de aço 3/8” </t>
  </si>
  <si>
    <t>CONDUTOR</t>
  </si>
  <si>
    <t>BT</t>
  </si>
  <si>
    <t>T4</t>
  </si>
  <si>
    <t>MT - 1º Nível</t>
  </si>
  <si>
    <t>MT - 2º Nível</t>
  </si>
  <si>
    <t>10 mm² - Bipolar</t>
  </si>
  <si>
    <t>10 mm² - Tetrapolar</t>
  </si>
  <si>
    <t>50mm², MTX-MT, 12/20 kV</t>
  </si>
  <si>
    <t>185mm², MTX-MT, 12/20 kV</t>
  </si>
  <si>
    <t>185mm², MTX-MT, 20/35 kV</t>
  </si>
  <si>
    <t>4-AWG, MTX-BT</t>
  </si>
  <si>
    <t>6-AWG, MTX-BT  - Duplex</t>
  </si>
  <si>
    <t>6-AWG, MTX-BT  - Triplex</t>
  </si>
  <si>
    <t>6-AWG, MTX-BT  - Quadriplex</t>
  </si>
  <si>
    <t>DIÂMETRO EXTERNO (m)</t>
  </si>
  <si>
    <t>PESO (Kg/m)</t>
  </si>
  <si>
    <t>Tipo de cabo</t>
  </si>
  <si>
    <t>Peso do cabo</t>
  </si>
  <si>
    <t>Quantidade de cabos</t>
  </si>
  <si>
    <t>Compx</t>
  </si>
  <si>
    <t>Compy</t>
  </si>
  <si>
    <t>Resultante - 1º Nível</t>
  </si>
  <si>
    <t>Ângulo</t>
  </si>
  <si>
    <t>Resultante - BT</t>
  </si>
  <si>
    <t>CABOS (QTD)</t>
  </si>
  <si>
    <t>397MCM-CA, XLPE, 34,5 kV</t>
  </si>
  <si>
    <t>397MCM-CA, XLPE, 13,8 kV</t>
  </si>
  <si>
    <t>1/0AWG-CAA, XLPE, 13,8 kV</t>
  </si>
  <si>
    <t>4 AWG-CAA, XLPE, 13,8 kV</t>
  </si>
  <si>
    <t>Tipo de rede</t>
  </si>
  <si>
    <t>Convencional</t>
  </si>
  <si>
    <t>Compacta</t>
  </si>
  <si>
    <t xml:space="preserve">Aberta </t>
  </si>
  <si>
    <t>Multiplexada</t>
  </si>
  <si>
    <t>Peso do mensageiro</t>
  </si>
  <si>
    <t>Diâmetro do mensageiro</t>
  </si>
  <si>
    <t>Armado</t>
  </si>
  <si>
    <t>397MCM-CA, PVC</t>
  </si>
  <si>
    <t xml:space="preserve">1/0AWG-CAA, PVC </t>
  </si>
  <si>
    <t>Multiplexado</t>
  </si>
  <si>
    <t>Rede</t>
  </si>
  <si>
    <t>Cabo</t>
  </si>
  <si>
    <t>Força do vento nos condutores - X</t>
  </si>
  <si>
    <t>Força do vento nos condutores - Y</t>
  </si>
  <si>
    <t>Resultante - 2º Nível</t>
  </si>
  <si>
    <t>Ramais BTZero</t>
  </si>
  <si>
    <t>Quantidade de ligações (*)</t>
  </si>
  <si>
    <t>RESULTANTE - TOTAL</t>
  </si>
  <si>
    <t>Tração
MT - 1º Nível 
(100 mm do topo)</t>
  </si>
  <si>
    <t>Tração
MT - 2º Nível 
(100 mm do topo)</t>
  </si>
  <si>
    <t>Tração
BT      
(100 mm do topo)</t>
  </si>
  <si>
    <t>Tração
Ramais BTZero
(100 mm do topo)</t>
  </si>
  <si>
    <t>(*) - Considerar:</t>
  </si>
  <si>
    <t>Ramais de ligação</t>
  </si>
  <si>
    <t>Tração
Ramais de ligação
(100 mm do topo)</t>
  </si>
  <si>
    <t>Total</t>
  </si>
  <si>
    <t>MT 1</t>
  </si>
  <si>
    <t>MT 2</t>
  </si>
  <si>
    <t>RAMAL</t>
  </si>
  <si>
    <t>RAMAL BT ZERO</t>
  </si>
  <si>
    <t>monofásico = 1 ligação trifásico = 3 ligações</t>
  </si>
  <si>
    <t xml:space="preserve">Cabo armado 50mm² </t>
  </si>
  <si>
    <t xml:space="preserve">Cabo armado 25mm² </t>
  </si>
  <si>
    <t>Força do Vento no poste</t>
  </si>
  <si>
    <t>Concreto circular</t>
  </si>
  <si>
    <t>altura</t>
  </si>
  <si>
    <t>Fibra de vidro circular</t>
  </si>
  <si>
    <t>Concreto Duplo T</t>
  </si>
  <si>
    <t>Força</t>
  </si>
  <si>
    <t>sp</t>
  </si>
  <si>
    <t>g</t>
  </si>
  <si>
    <t>Tipo do Poste</t>
  </si>
  <si>
    <t>Modelo do Poste</t>
  </si>
  <si>
    <t>9 m / 150 daN</t>
  </si>
  <si>
    <t>9 m / 300 daN</t>
  </si>
  <si>
    <t>11 m / 300 daN</t>
  </si>
  <si>
    <t>11 m / 600 daN</t>
  </si>
  <si>
    <t>11 m / 1000 daN</t>
  </si>
  <si>
    <t>11 m / 1500 daN</t>
  </si>
  <si>
    <t>12 m / 300 daN</t>
  </si>
  <si>
    <t>12 m / 600 daN</t>
  </si>
  <si>
    <t>12 m / 1000 daN</t>
  </si>
  <si>
    <t>12 m / 200 daN</t>
  </si>
  <si>
    <t>15 m / 1000 daN</t>
  </si>
  <si>
    <t>18 m / 1000 daN</t>
  </si>
  <si>
    <t>Concreto duplo T</t>
  </si>
  <si>
    <t>12 m / 2000 daN</t>
  </si>
  <si>
    <t>Metálico</t>
  </si>
  <si>
    <t>7,5 m / 200 daN</t>
  </si>
  <si>
    <t>Órgão:</t>
  </si>
  <si>
    <t>Projeto:</t>
  </si>
  <si>
    <t>Ponto:</t>
  </si>
  <si>
    <t>Endereço:</t>
  </si>
  <si>
    <t>Estudado por:</t>
  </si>
  <si>
    <t>Matricula:</t>
  </si>
  <si>
    <t>Data:</t>
  </si>
  <si>
    <t>N.S.:</t>
  </si>
  <si>
    <t>AP COSMOS LDA NOVA 03 - PROJETO 5</t>
  </si>
  <si>
    <t>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</si>
</sst>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164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0" xfId="0" applyNumberFormat="1" applyFill="1"/>
    <xf numFmtId="1" fontId="1" fillId="2" borderId="0" xfId="0" applyNumberFormat="1" applyFont="1" applyFill="1"/>
    <xf numFmtId="2" fontId="1" fillId="2" borderId="0" xfId="0" applyNumberFormat="1" applyFont="1" applyFill="1"/>
    <xf numFmtId="2" fontId="0" fillId="2" borderId="6" xfId="0" applyNumberFormat="1" applyFill="1" applyBorder="1"/>
    <xf numFmtId="0" fontId="0" fillId="3" borderId="0" xfId="0" applyFill="1"/>
    <xf numFmtId="0" fontId="0" fillId="3" borderId="0" xfId="0" applyFill="1" applyAlignment="1">
      <alignment horizontal="right"/>
    </xf>
    <xf numFmtId="1" fontId="5" fillId="2" borderId="0" xfId="0" applyNumberFormat="1" applyFont="1" applyFill="1"/>
    <xf numFmtId="2" fontId="5" fillId="2" borderId="0" xfId="0" applyNumberFormat="1" applyFont="1" applyFill="1"/>
    <xf numFmtId="0" fontId="0" fillId="2" borderId="7" xfId="0" applyFill="1" applyBorder="1" applyAlignment="1">
      <alignment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/>
    <xf numFmtId="1" fontId="7" fillId="2" borderId="0" xfId="0" applyNumberFormat="1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3" fillId="2" borderId="1" xfId="0" applyFont="1" applyFill="1" applyBorder="1"/>
    <xf numFmtId="1" fontId="7" fillId="2" borderId="1" xfId="0" applyNumberFormat="1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2" fillId="0" borderId="0" xfId="0" applyFont="1"/>
    <xf numFmtId="0" fontId="0" fillId="0" borderId="0" xfId="0" applyAlignment="1">
      <alignment vertical="center"/>
    </xf>
    <xf numFmtId="0" fontId="5" fillId="2" borderId="0" xfId="0" applyFont="1" applyFill="1"/>
    <xf numFmtId="0" fontId="10" fillId="2" borderId="0" xfId="1" applyFont="1" applyFill="1" applyAlignment="1">
      <alignment horizontal="right" vertical="center" wrapText="1" indent="1"/>
    </xf>
    <xf numFmtId="0" fontId="12" fillId="4" borderId="0" xfId="0" applyFont="1" applyFill="1" applyAlignment="1">
      <alignment horizontal="center" vertical="center"/>
    </xf>
    <xf numFmtId="0" fontId="11" fillId="2" borderId="0" xfId="1" applyFont="1" applyFill="1" applyAlignment="1">
      <alignment horizontal="right" vertical="center" wrapText="1"/>
    </xf>
    <xf numFmtId="0" fontId="11" fillId="2" borderId="0" xfId="1" applyFont="1" applyFill="1" applyAlignment="1">
      <alignment horizontal="right" vertical="center"/>
    </xf>
    <xf numFmtId="0" fontId="12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2" fontId="0" fillId="3" borderId="0" xfId="0" applyNumberFormat="1" applyFill="1"/>
    <xf numFmtId="2" fontId="2" fillId="3" borderId="0" xfId="0" applyNumberFormat="1" applyFont="1" applyFill="1"/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3" fillId="4" borderId="0" xfId="1" applyFont="1" applyFill="1" applyAlignment="1" applyProtection="1">
      <alignment horizontal="left" vertical="center"/>
      <protection hidden="1"/>
    </xf>
    <xf numFmtId="0" fontId="13" fillId="4" borderId="0" xfId="1" applyFont="1" applyFill="1" applyAlignment="1" applyProtection="1">
      <alignment horizontal="left" vertical="center" wrapText="1"/>
      <protection hidden="1"/>
    </xf>
  </cellXfs>
  <cellStyles count="2">
    <cellStyle name="Normal" xfId="0" builtinId="0"/>
    <cellStyle name="Normal_Plan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226942</xdr:rowOff>
    </xdr:from>
    <xdr:to>
      <xdr:col>9</xdr:col>
      <xdr:colOff>479564</xdr:colOff>
      <xdr:row>5</xdr:row>
      <xdr:rowOff>110987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7036" y="882925"/>
          <a:ext cx="5015119" cy="40750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TRAÇÃO TOTAL: 374 daN 112°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0039167" y="2075000"/>
          <a:ext cx="3010086" cy="2791042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42706" y="2790824"/>
          <a:ext cx="5065229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TRAÇÃO MT 1° NÍVEL (100 mm do topo): 217 daN 177°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37736" y="5610224"/>
          <a:ext cx="5078480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171 daN 90°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24485" y="8355081"/>
          <a:ext cx="510001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165 daN 60°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52645" y="10917719"/>
          <a:ext cx="5121551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55958" y="13695706"/>
          <a:ext cx="514308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829800" y="163997"/>
          <a:ext cx="919369" cy="472109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24C9901D-108F-4B85-BF45-EA57914ACA6C}">
  <we:reference id="WA104100404" version="3.0.0.1" store="Omex" storeType="OMEX"/>
  <we:alternateReferences>
    <we:reference id="WA104100404" version="3.0.0.1" store="WA104100404" storeType="OMEX"/>
  </we:alternateReferences>
  <we:properties>
    <we:property name="UniqueID" value="&quot;20261271772198780050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FA6135B-20AD-4C81-8736-08E03F730240}">
  <we:reference id="WA200009486" version="1.0.1.6" store="Omex" storeType="OMEX"/>
  <we:alternateReferences>
    <we:reference id="WA200009486" version="1.0.1.6" store="WA20000948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C1:V84"/>
  <sheetViews>
    <sheetView topLeftCell="A55" workbookViewId="0">
      <selection activeCell="C77" sqref="C77"/>
    </sheetView>
  </sheetViews>
  <sheetFormatPr defaultRowHeight="14.4" x14ac:dyDescent="0.3"/>
  <cols>
    <col min="3" max="3" width="36.44140625" bestFit="1" customWidth="1"/>
    <col min="4" max="4" width="15" style="35" bestFit="1" customWidth="1"/>
    <col min="7" max="7" width="15" bestFit="1" customWidth="1"/>
    <col min="14" max="14" width="25.109375" bestFit="1" customWidth="1"/>
  </cols>
  <sheetData>
    <row r="1" spans="3:15" ht="28.8" x14ac:dyDescent="0.3">
      <c r="C1" s="2" t="s">
        <v>37</v>
      </c>
      <c r="D1" s="32" t="s">
        <v>51</v>
      </c>
      <c r="E1" s="2" t="s">
        <v>52</v>
      </c>
      <c r="F1" s="2" t="s">
        <v>61</v>
      </c>
      <c r="N1" t="s">
        <v>66</v>
      </c>
    </row>
    <row r="2" spans="3:15" x14ac:dyDescent="0.3">
      <c r="C2" s="2"/>
      <c r="D2" s="32"/>
      <c r="E2" s="2"/>
    </row>
    <row r="3" spans="3:15" x14ac:dyDescent="0.3">
      <c r="C3" t="s">
        <v>23</v>
      </c>
      <c r="D3" s="33">
        <f>22/1000</f>
        <v>2.1999999999999999E-2</v>
      </c>
      <c r="E3" s="1">
        <f>779/1000</f>
        <v>0.77900000000000003</v>
      </c>
      <c r="F3">
        <v>3</v>
      </c>
      <c r="N3" t="s">
        <v>68</v>
      </c>
      <c r="O3">
        <v>3</v>
      </c>
    </row>
    <row r="4" spans="3:15" x14ac:dyDescent="0.3">
      <c r="C4" t="s">
        <v>24</v>
      </c>
      <c r="D4" s="33">
        <f>18.4/1000</f>
        <v>1.84E-2</v>
      </c>
      <c r="E4" s="1">
        <f>558/1000</f>
        <v>0.55800000000000005</v>
      </c>
      <c r="F4">
        <v>3</v>
      </c>
      <c r="N4" t="s">
        <v>67</v>
      </c>
      <c r="O4">
        <v>3</v>
      </c>
    </row>
    <row r="5" spans="3:15" x14ac:dyDescent="0.3">
      <c r="C5" t="s">
        <v>25</v>
      </c>
      <c r="D5" s="33">
        <f>10.2/1000</f>
        <v>1.0199999999999999E-2</v>
      </c>
      <c r="E5" s="1">
        <f>217/1000</f>
        <v>0.217</v>
      </c>
      <c r="F5">
        <v>3</v>
      </c>
      <c r="N5" t="s">
        <v>76</v>
      </c>
      <c r="O5">
        <v>1</v>
      </c>
    </row>
    <row r="6" spans="3:15" x14ac:dyDescent="0.3">
      <c r="C6" t="s">
        <v>26</v>
      </c>
      <c r="D6" s="33">
        <f>6.4/1000</f>
        <v>6.4000000000000003E-3</v>
      </c>
      <c r="E6" s="1">
        <f>85/1000</f>
        <v>8.5000000000000006E-2</v>
      </c>
      <c r="F6">
        <v>3</v>
      </c>
      <c r="N6" t="s">
        <v>70</v>
      </c>
      <c r="O6">
        <v>1</v>
      </c>
    </row>
    <row r="7" spans="3:15" x14ac:dyDescent="0.3">
      <c r="C7" t="s">
        <v>62</v>
      </c>
      <c r="D7" s="33">
        <f>34/1000</f>
        <v>3.4000000000000002E-2</v>
      </c>
      <c r="E7" s="1">
        <f>1195/1000</f>
        <v>1.1950000000000001</v>
      </c>
      <c r="N7" t="s">
        <v>69</v>
      </c>
      <c r="O7">
        <v>3</v>
      </c>
    </row>
    <row r="8" spans="3:15" x14ac:dyDescent="0.3">
      <c r="C8" t="s">
        <v>63</v>
      </c>
      <c r="D8" s="33">
        <f>26/1000</f>
        <v>2.5999999999999999E-2</v>
      </c>
      <c r="E8" s="1">
        <f>749/1000</f>
        <v>0.749</v>
      </c>
      <c r="N8" t="s">
        <v>73</v>
      </c>
      <c r="O8">
        <v>1</v>
      </c>
    </row>
    <row r="9" spans="3:15" x14ac:dyDescent="0.3">
      <c r="C9" t="s">
        <v>64</v>
      </c>
      <c r="D9" s="33">
        <f>17/1000</f>
        <v>1.7000000000000001E-2</v>
      </c>
      <c r="E9" s="1">
        <f>370/1000</f>
        <v>0.37</v>
      </c>
    </row>
    <row r="10" spans="3:15" x14ac:dyDescent="0.3">
      <c r="C10" t="s">
        <v>65</v>
      </c>
      <c r="D10" s="33">
        <f>13.2/1000</f>
        <v>1.32E-2</v>
      </c>
      <c r="E10" s="1">
        <f>193/1000</f>
        <v>0.193</v>
      </c>
    </row>
    <row r="11" spans="3:15" x14ac:dyDescent="0.3">
      <c r="C11" t="s">
        <v>46</v>
      </c>
      <c r="D11" s="33">
        <f>100/1000</f>
        <v>0.1</v>
      </c>
      <c r="E11" s="1">
        <f>5370/1000</f>
        <v>5.37</v>
      </c>
    </row>
    <row r="12" spans="3:15" x14ac:dyDescent="0.3">
      <c r="C12" t="s">
        <v>45</v>
      </c>
      <c r="D12" s="33">
        <f>88/1000</f>
        <v>8.7999999999999995E-2</v>
      </c>
      <c r="E12" s="1">
        <f>4430/1000</f>
        <v>4.43</v>
      </c>
    </row>
    <row r="13" spans="3:15" x14ac:dyDescent="0.3">
      <c r="C13" t="s">
        <v>44</v>
      </c>
      <c r="D13" s="33">
        <f>67/1000</f>
        <v>6.7000000000000004E-2</v>
      </c>
      <c r="E13" s="1">
        <f>2480/1000</f>
        <v>2.48</v>
      </c>
    </row>
    <row r="14" spans="3:15" x14ac:dyDescent="0.3">
      <c r="D14" s="33"/>
      <c r="E14" s="1"/>
    </row>
    <row r="15" spans="3:15" x14ac:dyDescent="0.3">
      <c r="C15" t="s">
        <v>74</v>
      </c>
      <c r="D15" s="33">
        <f>24/1000</f>
        <v>2.4E-2</v>
      </c>
      <c r="E15" s="1">
        <f>660/1000</f>
        <v>0.66</v>
      </c>
    </row>
    <row r="16" spans="3:15" x14ac:dyDescent="0.3">
      <c r="C16" t="s">
        <v>75</v>
      </c>
      <c r="D16" s="33">
        <f>13.2/1000</f>
        <v>1.32E-2</v>
      </c>
      <c r="E16" s="1">
        <f>192/1000</f>
        <v>0.192</v>
      </c>
    </row>
    <row r="17" spans="3:10" x14ac:dyDescent="0.3">
      <c r="C17" t="s">
        <v>27</v>
      </c>
      <c r="D17" s="33">
        <f>61/1000</f>
        <v>6.0999999999999999E-2</v>
      </c>
      <c r="E17" s="1">
        <f>2745/1000</f>
        <v>2.7450000000000001</v>
      </c>
    </row>
    <row r="18" spans="3:10" x14ac:dyDescent="0.3">
      <c r="C18" t="s">
        <v>28</v>
      </c>
      <c r="D18" s="33">
        <f>58/1000</f>
        <v>5.8000000000000003E-2</v>
      </c>
      <c r="E18" s="1">
        <f>2334/1000</f>
        <v>2.3340000000000001</v>
      </c>
    </row>
    <row r="19" spans="3:10" x14ac:dyDescent="0.3">
      <c r="C19" t="s">
        <v>29</v>
      </c>
      <c r="D19" s="33">
        <f>30/1000</f>
        <v>0.03</v>
      </c>
      <c r="E19" s="1">
        <f>1008/1000</f>
        <v>1.008</v>
      </c>
    </row>
    <row r="20" spans="3:10" x14ac:dyDescent="0.3">
      <c r="C20" t="s">
        <v>34</v>
      </c>
      <c r="D20" s="33">
        <f>65/1000</f>
        <v>6.5000000000000002E-2</v>
      </c>
      <c r="E20" s="1">
        <f>5250/1000</f>
        <v>5.25</v>
      </c>
    </row>
    <row r="21" spans="3:10" x14ac:dyDescent="0.3">
      <c r="C21" t="s">
        <v>35</v>
      </c>
      <c r="D21" s="33">
        <f>43/1000</f>
        <v>4.2999999999999997E-2</v>
      </c>
      <c r="E21" s="1">
        <f>2300/1000</f>
        <v>2.2999999999999998</v>
      </c>
    </row>
    <row r="22" spans="3:10" x14ac:dyDescent="0.3">
      <c r="C22" t="s">
        <v>36</v>
      </c>
      <c r="D22" s="33">
        <f>9.5/1000</f>
        <v>9.4999999999999998E-3</v>
      </c>
      <c r="E22" s="1">
        <f>407/1000</f>
        <v>0.40699999999999997</v>
      </c>
    </row>
    <row r="27" spans="3:10" x14ac:dyDescent="0.3">
      <c r="D27" s="33"/>
      <c r="E27" s="1"/>
    </row>
    <row r="30" spans="3:10" x14ac:dyDescent="0.3">
      <c r="C30" t="s">
        <v>42</v>
      </c>
      <c r="D30" s="33">
        <f>9.7/1000</f>
        <v>9.6999999999999986E-3</v>
      </c>
      <c r="E30" s="1">
        <f>97/1000</f>
        <v>9.7000000000000003E-2</v>
      </c>
    </row>
    <row r="31" spans="3:10" x14ac:dyDescent="0.3">
      <c r="C31" t="s">
        <v>43</v>
      </c>
      <c r="D31" s="33">
        <f>17.6/1000</f>
        <v>1.7600000000000001E-2</v>
      </c>
      <c r="E31" s="1">
        <f>313/1000</f>
        <v>0.313</v>
      </c>
      <c r="J31" t="s">
        <v>12</v>
      </c>
    </row>
    <row r="32" spans="3:10" x14ac:dyDescent="0.3">
      <c r="C32" t="s">
        <v>13</v>
      </c>
      <c r="D32" s="33">
        <f>11.5/1000</f>
        <v>1.15E-2</v>
      </c>
      <c r="E32" s="1">
        <f>136/1000</f>
        <v>0.13600000000000001</v>
      </c>
      <c r="J32" t="s">
        <v>13</v>
      </c>
    </row>
    <row r="33" spans="3:12" x14ac:dyDescent="0.3">
      <c r="C33" t="s">
        <v>12</v>
      </c>
      <c r="D33" s="33">
        <f>21.8/1000</f>
        <v>2.18E-2</v>
      </c>
      <c r="E33" s="1">
        <f>459/1000</f>
        <v>0.45900000000000002</v>
      </c>
      <c r="J33" s="1" t="s">
        <v>15</v>
      </c>
      <c r="K33" s="1"/>
    </row>
    <row r="34" spans="3:12" x14ac:dyDescent="0.3">
      <c r="C34" t="s">
        <v>48</v>
      </c>
      <c r="D34" s="33">
        <f>(7.05+5.04)/1000</f>
        <v>1.209E-2</v>
      </c>
      <c r="E34" s="1">
        <f>113/1000</f>
        <v>0.113</v>
      </c>
      <c r="J34" s="1" t="s">
        <v>16</v>
      </c>
      <c r="K34" s="1" t="s">
        <v>17</v>
      </c>
      <c r="L34" s="1" t="s">
        <v>14</v>
      </c>
    </row>
    <row r="35" spans="3:12" x14ac:dyDescent="0.3">
      <c r="C35" t="s">
        <v>49</v>
      </c>
      <c r="D35" s="33">
        <f>(7.05+7.05)/1000</f>
        <v>1.41E-2</v>
      </c>
      <c r="E35" s="1">
        <f>173/1000</f>
        <v>0.17299999999999999</v>
      </c>
      <c r="J35">
        <v>1</v>
      </c>
      <c r="K35">
        <v>2</v>
      </c>
      <c r="L35">
        <v>1</v>
      </c>
    </row>
    <row r="36" spans="3:12" x14ac:dyDescent="0.3">
      <c r="C36" t="s">
        <v>50</v>
      </c>
      <c r="D36" s="34">
        <f>17.484/1000</f>
        <v>1.7484000000000003E-2</v>
      </c>
      <c r="E36" s="1">
        <f>232/1000</f>
        <v>0.23200000000000001</v>
      </c>
      <c r="J36">
        <v>3</v>
      </c>
      <c r="K36">
        <v>7</v>
      </c>
      <c r="L36">
        <v>3</v>
      </c>
    </row>
    <row r="37" spans="3:12" x14ac:dyDescent="0.3">
      <c r="C37" t="s">
        <v>47</v>
      </c>
      <c r="D37" s="33">
        <f>20.936/1000</f>
        <v>2.0936E-2</v>
      </c>
      <c r="E37" s="1">
        <f>349/1000</f>
        <v>0.34899999999999998</v>
      </c>
      <c r="J37">
        <v>8</v>
      </c>
      <c r="K37">
        <v>19</v>
      </c>
      <c r="L37">
        <v>5</v>
      </c>
    </row>
    <row r="38" spans="3:12" x14ac:dyDescent="0.3">
      <c r="C38" t="s">
        <v>32</v>
      </c>
      <c r="D38" s="33">
        <f>25.5/1000</f>
        <v>2.5499999999999998E-2</v>
      </c>
      <c r="E38" s="1">
        <f>834/1000</f>
        <v>0.83399999999999996</v>
      </c>
      <c r="J38">
        <v>20</v>
      </c>
      <c r="K38">
        <v>37</v>
      </c>
      <c r="L38">
        <v>7</v>
      </c>
    </row>
    <row r="39" spans="3:12" x14ac:dyDescent="0.3">
      <c r="C39" t="s">
        <v>29</v>
      </c>
      <c r="D39" s="33">
        <f>30/1000</f>
        <v>0.03</v>
      </c>
      <c r="E39" s="1">
        <f>1008/1000</f>
        <v>1.008</v>
      </c>
      <c r="J39">
        <v>38</v>
      </c>
      <c r="K39">
        <v>61</v>
      </c>
      <c r="L39">
        <v>9</v>
      </c>
    </row>
    <row r="40" spans="3:12" x14ac:dyDescent="0.3">
      <c r="C40" t="s">
        <v>28</v>
      </c>
      <c r="D40" s="33">
        <f>58/1000</f>
        <v>5.8000000000000003E-2</v>
      </c>
      <c r="E40" s="1">
        <f>2334/1000</f>
        <v>2.3340000000000001</v>
      </c>
      <c r="J40">
        <v>61</v>
      </c>
      <c r="K40">
        <v>96</v>
      </c>
      <c r="L40">
        <v>11</v>
      </c>
    </row>
    <row r="41" spans="3:12" x14ac:dyDescent="0.3">
      <c r="C41" t="s">
        <v>27</v>
      </c>
      <c r="D41" s="33">
        <f>61/1000</f>
        <v>6.0999999999999999E-2</v>
      </c>
      <c r="E41" s="1">
        <f>2745/1000</f>
        <v>2.7450000000000001</v>
      </c>
    </row>
    <row r="42" spans="3:12" x14ac:dyDescent="0.3">
      <c r="C42" t="s">
        <v>99</v>
      </c>
      <c r="D42" s="33">
        <f>28.5/1000</f>
        <v>2.8500000000000001E-2</v>
      </c>
      <c r="E42" s="1">
        <f>1080/1000</f>
        <v>1.08</v>
      </c>
    </row>
    <row r="43" spans="3:12" x14ac:dyDescent="0.3">
      <c r="C43" t="s">
        <v>98</v>
      </c>
      <c r="D43" s="33">
        <f>34.5/1000</f>
        <v>3.4500000000000003E-2</v>
      </c>
      <c r="E43" s="1">
        <f>1450/1000</f>
        <v>1.45</v>
      </c>
    </row>
    <row r="44" spans="3:12" x14ac:dyDescent="0.3">
      <c r="C44" t="s">
        <v>35</v>
      </c>
      <c r="D44" s="33">
        <f>43/1000</f>
        <v>4.2999999999999997E-2</v>
      </c>
      <c r="E44" s="1">
        <f>2300/1000</f>
        <v>2.2999999999999998</v>
      </c>
    </row>
    <row r="45" spans="3:12" x14ac:dyDescent="0.3">
      <c r="C45" t="s">
        <v>34</v>
      </c>
      <c r="D45" s="33">
        <f>65/1000</f>
        <v>6.5000000000000002E-2</v>
      </c>
      <c r="E45" s="1">
        <f>5250/1000</f>
        <v>5.25</v>
      </c>
    </row>
    <row r="47" spans="3:12" x14ac:dyDescent="0.3">
      <c r="C47" t="s">
        <v>30</v>
      </c>
      <c r="D47" s="33">
        <f>34.7/1000</f>
        <v>3.4700000000000002E-2</v>
      </c>
      <c r="E47" s="1">
        <f>1560/1000</f>
        <v>1.56</v>
      </c>
    </row>
    <row r="48" spans="3:12" x14ac:dyDescent="0.3">
      <c r="C48" t="s">
        <v>31</v>
      </c>
      <c r="D48" s="33">
        <f>31.3/1000</f>
        <v>3.1300000000000001E-2</v>
      </c>
      <c r="E48" s="1">
        <f>1270/1000</f>
        <v>1.27</v>
      </c>
    </row>
    <row r="49" spans="3:6" x14ac:dyDescent="0.3">
      <c r="C49" t="s">
        <v>32</v>
      </c>
      <c r="D49" s="33">
        <f>25.5/1000</f>
        <v>2.5499999999999998E-2</v>
      </c>
      <c r="E49" s="1">
        <f>834/1000</f>
        <v>0.83399999999999996</v>
      </c>
    </row>
    <row r="50" spans="3:6" x14ac:dyDescent="0.3">
      <c r="C50" t="s">
        <v>33</v>
      </c>
      <c r="D50" s="33">
        <f>16.3/1000</f>
        <v>1.6300000000000002E-2</v>
      </c>
      <c r="E50" s="1">
        <f>349/1000</f>
        <v>0.34899999999999998</v>
      </c>
    </row>
    <row r="56" spans="3:6" x14ac:dyDescent="0.3">
      <c r="D56" s="33" t="s">
        <v>102</v>
      </c>
      <c r="E56" s="1" t="s">
        <v>105</v>
      </c>
      <c r="F56" s="1"/>
    </row>
    <row r="57" spans="3:6" x14ac:dyDescent="0.3">
      <c r="C57" s="37" t="s">
        <v>101</v>
      </c>
      <c r="D57" t="s">
        <v>110</v>
      </c>
      <c r="E57">
        <v>12.24</v>
      </c>
    </row>
    <row r="58" spans="3:6" x14ac:dyDescent="0.3">
      <c r="C58" s="37"/>
      <c r="D58" t="s">
        <v>111</v>
      </c>
      <c r="E58">
        <v>14.18</v>
      </c>
    </row>
    <row r="59" spans="3:6" x14ac:dyDescent="0.3">
      <c r="C59" s="37"/>
      <c r="D59" t="s">
        <v>112</v>
      </c>
      <c r="E59" s="36">
        <v>18.489999999999998</v>
      </c>
      <c r="F59" s="36"/>
    </row>
    <row r="60" spans="3:6" x14ac:dyDescent="0.3">
      <c r="C60" s="37"/>
      <c r="D60" t="s">
        <v>113</v>
      </c>
      <c r="E60" s="36">
        <v>20.09</v>
      </c>
      <c r="F60" s="36"/>
    </row>
    <row r="61" spans="3:6" x14ac:dyDescent="0.3">
      <c r="C61" s="37"/>
      <c r="D61" t="s">
        <v>114</v>
      </c>
      <c r="E61">
        <v>23.27</v>
      </c>
    </row>
    <row r="62" spans="3:6" x14ac:dyDescent="0.3">
      <c r="C62" s="37"/>
      <c r="D62" t="s">
        <v>115</v>
      </c>
      <c r="E62">
        <v>28.06</v>
      </c>
    </row>
    <row r="63" spans="3:6" x14ac:dyDescent="0.3">
      <c r="C63" s="37"/>
      <c r="D63" t="s">
        <v>116</v>
      </c>
      <c r="E63">
        <v>20.78</v>
      </c>
    </row>
    <row r="64" spans="3:6" x14ac:dyDescent="0.3">
      <c r="C64" s="37"/>
      <c r="D64" t="s">
        <v>117</v>
      </c>
      <c r="E64">
        <v>22.53</v>
      </c>
    </row>
    <row r="65" spans="3:22" x14ac:dyDescent="0.3">
      <c r="C65" s="37"/>
      <c r="D65" t="s">
        <v>118</v>
      </c>
      <c r="E65">
        <v>26.02</v>
      </c>
    </row>
    <row r="66" spans="3:22" x14ac:dyDescent="0.3">
      <c r="C66" s="37"/>
      <c r="D66" t="s">
        <v>123</v>
      </c>
      <c r="E66">
        <v>34.76</v>
      </c>
    </row>
    <row r="67" spans="3:22" x14ac:dyDescent="0.3">
      <c r="C67" s="37"/>
      <c r="D67" t="s">
        <v>120</v>
      </c>
      <c r="E67">
        <v>34.83</v>
      </c>
    </row>
    <row r="68" spans="3:22" x14ac:dyDescent="0.3">
      <c r="C68" s="37"/>
      <c r="D68" t="s">
        <v>121</v>
      </c>
      <c r="E68">
        <v>44.46</v>
      </c>
    </row>
    <row r="69" spans="3:22" x14ac:dyDescent="0.3">
      <c r="C69" s="37" t="s">
        <v>103</v>
      </c>
      <c r="D69" t="s">
        <v>111</v>
      </c>
      <c r="E69">
        <v>12.21</v>
      </c>
    </row>
    <row r="70" spans="3:22" x14ac:dyDescent="0.3">
      <c r="C70" s="37"/>
      <c r="D70" t="s">
        <v>112</v>
      </c>
      <c r="E70">
        <v>18.510000000000002</v>
      </c>
    </row>
    <row r="71" spans="3:22" x14ac:dyDescent="0.3">
      <c r="C71" s="37"/>
      <c r="D71" t="s">
        <v>113</v>
      </c>
      <c r="E71">
        <v>19.66</v>
      </c>
    </row>
    <row r="72" spans="3:22" x14ac:dyDescent="0.3">
      <c r="C72" s="37"/>
      <c r="D72" t="s">
        <v>117</v>
      </c>
      <c r="E72">
        <v>22.09</v>
      </c>
    </row>
    <row r="73" spans="3:22" x14ac:dyDescent="0.3">
      <c r="C73" s="37" t="s">
        <v>104</v>
      </c>
      <c r="D73" t="s">
        <v>111</v>
      </c>
      <c r="E73">
        <v>21.55</v>
      </c>
    </row>
    <row r="74" spans="3:22" x14ac:dyDescent="0.3">
      <c r="C74" s="37"/>
      <c r="D74" t="s">
        <v>112</v>
      </c>
      <c r="E74">
        <v>28.78</v>
      </c>
    </row>
    <row r="75" spans="3:22" x14ac:dyDescent="0.3">
      <c r="C75" s="37"/>
      <c r="D75" t="s">
        <v>113</v>
      </c>
      <c r="E75">
        <v>28.78</v>
      </c>
    </row>
    <row r="76" spans="3:22" x14ac:dyDescent="0.3">
      <c r="C76" s="37"/>
      <c r="D76" t="s">
        <v>117</v>
      </c>
      <c r="E76">
        <v>32.58</v>
      </c>
      <c r="O76">
        <f>0.00754*60^2</f>
        <v>27.143999999999998</v>
      </c>
    </row>
    <row r="77" spans="3:22" x14ac:dyDescent="0.3">
      <c r="C77" s="37" t="s">
        <v>124</v>
      </c>
      <c r="D77" t="s">
        <v>125</v>
      </c>
      <c r="E77">
        <v>7.51</v>
      </c>
      <c r="O77">
        <v>90</v>
      </c>
      <c r="Q77">
        <v>140</v>
      </c>
    </row>
    <row r="78" spans="3:22" x14ac:dyDescent="0.3">
      <c r="O78">
        <v>90</v>
      </c>
      <c r="Q78">
        <v>448</v>
      </c>
      <c r="S78" t="s">
        <v>107</v>
      </c>
      <c r="T78">
        <f>O81+2*O77</f>
        <v>270</v>
      </c>
      <c r="U78">
        <f>O79</f>
        <v>6.15</v>
      </c>
      <c r="V78">
        <f>(T78*U78)/(T79*U79)</f>
        <v>3.0750000000000002</v>
      </c>
    </row>
    <row r="79" spans="3:22" x14ac:dyDescent="0.3">
      <c r="O79">
        <f>7.5-0.75-0.6</f>
        <v>6.15</v>
      </c>
      <c r="Q79">
        <v>9.3000000000000007</v>
      </c>
      <c r="T79">
        <f>O77+O81</f>
        <v>180</v>
      </c>
      <c r="U79">
        <v>3</v>
      </c>
    </row>
    <row r="80" spans="3:22" x14ac:dyDescent="0.3">
      <c r="O80">
        <f>(O78-O77)/12</f>
        <v>0</v>
      </c>
      <c r="Q80">
        <v>28</v>
      </c>
    </row>
    <row r="81" spans="14:22" x14ac:dyDescent="0.3">
      <c r="O81">
        <v>90</v>
      </c>
      <c r="Q81">
        <f>(9.3*28+140)</f>
        <v>400.40000000000003</v>
      </c>
      <c r="V81">
        <f>V78/O79*O84/1000</f>
        <v>7.5121019999999996</v>
      </c>
    </row>
    <row r="83" spans="14:22" x14ac:dyDescent="0.3">
      <c r="N83" t="s">
        <v>106</v>
      </c>
      <c r="O83">
        <f>0.5*(90+90)*6.15</f>
        <v>553.5</v>
      </c>
      <c r="Q83">
        <f>0.5*(Q77+Q81)*Q79</f>
        <v>2512.8600000000006</v>
      </c>
    </row>
    <row r="84" spans="14:22" x14ac:dyDescent="0.3">
      <c r="O84">
        <f>O83*O76</f>
        <v>15024.204</v>
      </c>
      <c r="Q84">
        <f>Q83*O76</f>
        <v>68209.071840000019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H39"/>
  <sheetViews>
    <sheetView workbookViewId="0">
      <selection activeCell="D21" sqref="D21"/>
    </sheetView>
  </sheetViews>
  <sheetFormatPr defaultRowHeight="14.4" x14ac:dyDescent="0.3"/>
  <cols>
    <col min="1" max="2" width="25.6640625" bestFit="1" customWidth="1"/>
    <col min="3" max="3" width="25.5546875" bestFit="1" customWidth="1"/>
    <col min="8" max="8" width="39.88671875" customWidth="1"/>
  </cols>
  <sheetData>
    <row r="1" spans="1:8" x14ac:dyDescent="0.3">
      <c r="A1" t="s">
        <v>68</v>
      </c>
      <c r="B1" t="s">
        <v>67</v>
      </c>
      <c r="C1" t="s">
        <v>76</v>
      </c>
    </row>
    <row r="2" spans="1:8" x14ac:dyDescent="0.3">
      <c r="A2" t="s">
        <v>62</v>
      </c>
      <c r="B2" t="s">
        <v>23</v>
      </c>
      <c r="C2" t="s">
        <v>46</v>
      </c>
      <c r="G2" t="s">
        <v>77</v>
      </c>
      <c r="H2" t="s">
        <v>76</v>
      </c>
    </row>
    <row r="3" spans="1:8" x14ac:dyDescent="0.3">
      <c r="A3" t="s">
        <v>63</v>
      </c>
      <c r="B3" t="s">
        <v>24</v>
      </c>
      <c r="C3" t="s">
        <v>45</v>
      </c>
      <c r="G3" t="s">
        <v>78</v>
      </c>
    </row>
    <row r="4" spans="1:8" x14ac:dyDescent="0.3">
      <c r="A4" t="s">
        <v>64</v>
      </c>
      <c r="B4" t="s">
        <v>25</v>
      </c>
      <c r="C4" t="s">
        <v>44</v>
      </c>
    </row>
    <row r="5" spans="1:8" x14ac:dyDescent="0.3">
      <c r="B5" t="s">
        <v>26</v>
      </c>
    </row>
    <row r="6" spans="1:8" x14ac:dyDescent="0.3">
      <c r="B6" t="s">
        <v>62</v>
      </c>
    </row>
    <row r="7" spans="1:8" x14ac:dyDescent="0.3">
      <c r="B7" t="s">
        <v>63</v>
      </c>
    </row>
    <row r="8" spans="1:8" x14ac:dyDescent="0.3">
      <c r="B8" t="s">
        <v>64</v>
      </c>
    </row>
    <row r="9" spans="1:8" x14ac:dyDescent="0.3">
      <c r="B9" t="s">
        <v>65</v>
      </c>
    </row>
    <row r="13" spans="1:8" x14ac:dyDescent="0.3">
      <c r="A13" t="s">
        <v>70</v>
      </c>
      <c r="B13" t="s">
        <v>69</v>
      </c>
      <c r="C13" t="s">
        <v>73</v>
      </c>
    </row>
    <row r="14" spans="1:8" x14ac:dyDescent="0.3">
      <c r="A14" t="s">
        <v>27</v>
      </c>
      <c r="B14" t="s">
        <v>74</v>
      </c>
      <c r="C14" t="s">
        <v>34</v>
      </c>
      <c r="G14" t="s">
        <v>77</v>
      </c>
      <c r="H14" t="s">
        <v>76</v>
      </c>
    </row>
    <row r="15" spans="1:8" x14ac:dyDescent="0.3">
      <c r="A15" t="s">
        <v>28</v>
      </c>
      <c r="B15" t="s">
        <v>75</v>
      </c>
      <c r="C15" t="s">
        <v>35</v>
      </c>
      <c r="G15" t="s">
        <v>78</v>
      </c>
    </row>
    <row r="16" spans="1:8" x14ac:dyDescent="0.3">
      <c r="A16" t="s">
        <v>29</v>
      </c>
    </row>
    <row r="20" spans="1:4" x14ac:dyDescent="0.3">
      <c r="A20" s="37" t="s">
        <v>101</v>
      </c>
      <c r="B20" s="37" t="s">
        <v>103</v>
      </c>
      <c r="C20" s="37" t="s">
        <v>122</v>
      </c>
      <c r="D20" s="37" t="s">
        <v>124</v>
      </c>
    </row>
    <row r="21" spans="1:4" x14ac:dyDescent="0.3">
      <c r="A21" t="s">
        <v>110</v>
      </c>
      <c r="B21" t="s">
        <v>111</v>
      </c>
      <c r="C21" t="s">
        <v>111</v>
      </c>
      <c r="D21" t="s">
        <v>125</v>
      </c>
    </row>
    <row r="22" spans="1:4" x14ac:dyDescent="0.3">
      <c r="A22" t="s">
        <v>111</v>
      </c>
      <c r="B22" t="s">
        <v>112</v>
      </c>
      <c r="C22" t="s">
        <v>112</v>
      </c>
    </row>
    <row r="23" spans="1:4" x14ac:dyDescent="0.3">
      <c r="A23" t="s">
        <v>112</v>
      </c>
      <c r="B23" t="s">
        <v>113</v>
      </c>
      <c r="C23" t="s">
        <v>113</v>
      </c>
    </row>
    <row r="24" spans="1:4" x14ac:dyDescent="0.3">
      <c r="A24" t="s">
        <v>113</v>
      </c>
      <c r="B24" t="s">
        <v>117</v>
      </c>
      <c r="C24" t="s">
        <v>117</v>
      </c>
    </row>
    <row r="25" spans="1:4" x14ac:dyDescent="0.3">
      <c r="A25" t="s">
        <v>114</v>
      </c>
    </row>
    <row r="26" spans="1:4" x14ac:dyDescent="0.3">
      <c r="A26" t="s">
        <v>115</v>
      </c>
    </row>
    <row r="27" spans="1:4" x14ac:dyDescent="0.3">
      <c r="A27" t="s">
        <v>116</v>
      </c>
    </row>
    <row r="28" spans="1:4" x14ac:dyDescent="0.3">
      <c r="A28" t="s">
        <v>117</v>
      </c>
    </row>
    <row r="29" spans="1:4" x14ac:dyDescent="0.3">
      <c r="A29" t="s">
        <v>118</v>
      </c>
    </row>
    <row r="30" spans="1:4" x14ac:dyDescent="0.3">
      <c r="A30" t="s">
        <v>119</v>
      </c>
    </row>
    <row r="31" spans="1:4" x14ac:dyDescent="0.3">
      <c r="A31" t="s">
        <v>120</v>
      </c>
    </row>
    <row r="32" spans="1:4" x14ac:dyDescent="0.3">
      <c r="A32" t="s">
        <v>121</v>
      </c>
    </row>
    <row r="33" spans="1:1" x14ac:dyDescent="0.3">
      <c r="A33" s="37"/>
    </row>
    <row r="34" spans="1:1" x14ac:dyDescent="0.3">
      <c r="A34" s="37"/>
    </row>
    <row r="35" spans="1:1" x14ac:dyDescent="0.3">
      <c r="A35" s="37"/>
    </row>
    <row r="36" spans="1:1" x14ac:dyDescent="0.3">
      <c r="A36" s="37"/>
    </row>
    <row r="37" spans="1:1" x14ac:dyDescent="0.3">
      <c r="A37" s="37"/>
    </row>
    <row r="38" spans="1:1" x14ac:dyDescent="0.3">
      <c r="A38" s="37"/>
    </row>
    <row r="39" spans="1:1" x14ac:dyDescent="0.3">
      <c r="A39" s="37"/>
    </row>
  </sheetData>
  <dataValidations disablePrompts="1" count="2">
    <dataValidation type="list" allowBlank="1" showInputMessage="1" showErrorMessage="1" sqref="H3 H15" xr:uid="{00000000-0002-0000-0100-000000000000}">
      <formula1>Tipo</formula1>
    </dataValidation>
    <dataValidation type="list" allowBlank="1" showInputMessage="1" showErrorMessage="1" sqref="H2 H14" xr:uid="{00000000-0002-0000-0100-000001000000}">
      <formula1>$A$1:$C$1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>
    <pageSetUpPr fitToPage="1"/>
  </sheetPr>
  <dimension ref="A1:U149"/>
  <sheetViews>
    <sheetView showGridLines="0" showRowColHeaders="0" tabSelected="1" showRuler="0" zoomScale="90" zoomScaleNormal="90" workbookViewId="0">
      <selection activeCell="C8" sqref="C8:D8"/>
    </sheetView>
  </sheetViews>
  <sheetFormatPr defaultColWidth="0" defaultRowHeight="14.4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1" t="s">
        <v>126</v>
      </c>
      <c r="C1" s="40"/>
      <c r="D1" s="41" t="s">
        <v>133</v>
      </c>
      <c r="E1" s="61"/>
      <c r="F1" s="61"/>
      <c r="G1" s="41" t="s">
        <v>127</v>
      </c>
      <c r="H1" s="62" t="s">
        <v>134</v>
      </c>
      <c r="I1" s="62"/>
      <c r="J1" s="41" t="s">
        <v>128</v>
      </c>
      <c r="K1" s="64" t="s">
        <v>135</v>
      </c>
      <c r="L1" s="64"/>
    </row>
    <row r="2" spans="2:21" ht="17.399999999999999" x14ac:dyDescent="0.3">
      <c r="B2" s="42" t="s">
        <v>129</v>
      </c>
      <c r="C2" s="67"/>
      <c r="D2" s="67"/>
      <c r="E2" s="67"/>
      <c r="F2" s="67"/>
      <c r="G2" s="67"/>
      <c r="H2" s="67"/>
      <c r="I2" s="67"/>
      <c r="J2" s="67"/>
      <c r="K2" s="67"/>
      <c r="L2" s="67"/>
    </row>
    <row r="3" spans="2:21" ht="17.399999999999999" x14ac:dyDescent="0.3">
      <c r="B3" s="42" t="s">
        <v>130</v>
      </c>
      <c r="C3" s="66"/>
      <c r="D3" s="66"/>
      <c r="E3" s="66"/>
      <c r="F3" s="66"/>
      <c r="G3" s="41" t="s">
        <v>131</v>
      </c>
      <c r="H3" s="61"/>
      <c r="I3" s="61"/>
      <c r="J3" s="41" t="s">
        <v>132</v>
      </c>
      <c r="K3" s="65"/>
      <c r="L3" s="61"/>
    </row>
    <row r="4" spans="2:21" ht="21.75" customHeight="1" x14ac:dyDescent="0.3">
      <c r="G4" s="39"/>
    </row>
    <row r="5" spans="2:21" ht="20.25" customHeight="1" x14ac:dyDescent="0.5">
      <c r="B5" s="63"/>
      <c r="C5" s="63"/>
      <c r="D5" s="63"/>
      <c r="E5" s="63"/>
    </row>
    <row r="6" spans="2:21" x14ac:dyDescent="0.3"/>
    <row r="7" spans="2:21" ht="17.399999999999999" x14ac:dyDescent="0.35">
      <c r="B7" s="43" t="s">
        <v>108</v>
      </c>
      <c r="C7" s="59" t="s">
        <v>101</v>
      </c>
      <c r="D7" s="59"/>
      <c r="F7" s="16">
        <f>C140</f>
        <v>373.66974336344543</v>
      </c>
    </row>
    <row r="8" spans="2:21" ht="17.399999999999999" x14ac:dyDescent="0.35">
      <c r="B8" s="43" t="s">
        <v>109</v>
      </c>
      <c r="C8" s="59" t="s">
        <v>113</v>
      </c>
      <c r="D8" s="59"/>
    </row>
    <row r="9" spans="2:21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x14ac:dyDescent="0.3">
      <c r="B11" s="4"/>
      <c r="C11" s="48" t="s">
        <v>20</v>
      </c>
      <c r="D11" s="48"/>
      <c r="F11" s="48" t="s">
        <v>21</v>
      </c>
      <c r="G11" s="48"/>
      <c r="I11" s="48" t="s">
        <v>22</v>
      </c>
      <c r="J11" s="48"/>
      <c r="L11" s="48" t="s">
        <v>39</v>
      </c>
      <c r="M11" s="49"/>
      <c r="U11" s="16"/>
    </row>
    <row r="12" spans="2:21" x14ac:dyDescent="0.3">
      <c r="B12" s="7" t="s">
        <v>66</v>
      </c>
      <c r="C12" s="50" t="s">
        <v>67</v>
      </c>
      <c r="D12" s="50"/>
      <c r="E12" s="5"/>
      <c r="F12" s="50" t="s">
        <v>67</v>
      </c>
      <c r="G12" s="50"/>
      <c r="H12" s="5"/>
      <c r="I12" s="50"/>
      <c r="J12" s="50"/>
      <c r="K12" s="5"/>
      <c r="L12" s="50"/>
      <c r="M12" s="50"/>
      <c r="U12" s="16"/>
    </row>
    <row r="13" spans="2:21" x14ac:dyDescent="0.3">
      <c r="B13" s="7" t="s">
        <v>53</v>
      </c>
      <c r="C13" s="50" t="s">
        <v>24</v>
      </c>
      <c r="D13" s="50"/>
      <c r="E13" s="5"/>
      <c r="F13" s="50" t="s">
        <v>24</v>
      </c>
      <c r="G13" s="50"/>
      <c r="H13" s="5"/>
      <c r="I13" s="50"/>
      <c r="J13" s="50"/>
      <c r="K13" s="5"/>
      <c r="L13" s="50"/>
      <c r="M13" s="50"/>
      <c r="U13" s="16"/>
    </row>
    <row r="14" spans="2:21" x14ac:dyDescent="0.3">
      <c r="B14" s="8" t="s">
        <v>3</v>
      </c>
      <c r="C14" s="21">
        <v>33</v>
      </c>
      <c r="D14" s="3" t="s">
        <v>2</v>
      </c>
      <c r="F14" s="21">
        <v>40</v>
      </c>
      <c r="G14" s="3" t="s">
        <v>2</v>
      </c>
      <c r="I14" s="21"/>
      <c r="J14" s="3" t="s">
        <v>2</v>
      </c>
      <c r="L14" s="21"/>
      <c r="M14" s="6" t="s">
        <v>2</v>
      </c>
    </row>
    <row r="15" spans="2:21" x14ac:dyDescent="0.3">
      <c r="B15" s="8" t="s">
        <v>4</v>
      </c>
      <c r="C15" s="46">
        <v>0.5</v>
      </c>
      <c r="D15" s="3" t="s">
        <v>2</v>
      </c>
      <c r="F15" s="47">
        <v>0.5</v>
      </c>
      <c r="G15" s="3" t="s">
        <v>2</v>
      </c>
      <c r="I15" s="47"/>
      <c r="J15" s="3" t="s">
        <v>2</v>
      </c>
      <c r="L15" s="47"/>
      <c r="M15" s="6" t="s">
        <v>2</v>
      </c>
    </row>
    <row r="16" spans="2:21" x14ac:dyDescent="0.3">
      <c r="B16" s="8" t="s">
        <v>59</v>
      </c>
      <c r="C16" s="20">
        <v>0</v>
      </c>
      <c r="D16" s="9" t="s">
        <v>5</v>
      </c>
      <c r="F16" s="20">
        <f>11+74+84+10</f>
        <v>179</v>
      </c>
      <c r="G16" s="9" t="s">
        <v>5</v>
      </c>
      <c r="I16" s="20"/>
      <c r="J16" s="9" t="s">
        <v>5</v>
      </c>
      <c r="L16" s="20"/>
      <c r="M16" s="10" t="s">
        <v>5</v>
      </c>
    </row>
    <row r="17" spans="2:21" x14ac:dyDescent="0.3">
      <c r="B17" s="8" t="s">
        <v>10</v>
      </c>
      <c r="C17" s="20">
        <v>11</v>
      </c>
      <c r="D17" s="3" t="s">
        <v>2</v>
      </c>
      <c r="M17" s="6"/>
    </row>
    <row r="18" spans="2:21" x14ac:dyDescent="0.3">
      <c r="B18" s="8" t="s">
        <v>9</v>
      </c>
      <c r="C18" s="20">
        <v>9.1999999999999993</v>
      </c>
      <c r="D18" s="3" t="s">
        <v>2</v>
      </c>
      <c r="M18" s="6"/>
    </row>
    <row r="19" spans="2:21" hidden="1" x14ac:dyDescent="0.3">
      <c r="B19" s="8" t="s">
        <v>54</v>
      </c>
      <c r="C19" s="3">
        <f>IF(C12&gt;0,VLOOKUP(C13,Plan1!$C$3:$E$34,3,0)," ")</f>
        <v>0.55800000000000005</v>
      </c>
      <c r="D19" s="3" t="s">
        <v>0</v>
      </c>
      <c r="F19" s="3">
        <f>IF(F12&gt;0,VLOOKUP(F13,Plan1!$C$3:$E$34,3,0)," ")</f>
        <v>0.55800000000000005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idden="1" x14ac:dyDescent="0.3">
      <c r="B20" s="8" t="s">
        <v>6</v>
      </c>
      <c r="C20" s="3">
        <f>IF(C12&gt;0,VLOOKUP(C13,Plan1!$C$3:$E$34,2,0)," ")</f>
        <v>1.84E-2</v>
      </c>
      <c r="D20" s="3" t="s">
        <v>2</v>
      </c>
      <c r="F20" s="3">
        <f>IF(F12&gt;0,VLOOKUP(F13,Plan1!$C$3:$E$34,2,0)," ")</f>
        <v>1.84E-2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idden="1" x14ac:dyDescent="0.3">
      <c r="B22" s="7" t="s">
        <v>71</v>
      </c>
      <c r="C22" s="3">
        <f>IF(C12=Plan1!$N$3,Plan1!$E$22,0)</f>
        <v>0</v>
      </c>
      <c r="F22" s="3">
        <f>IF(F12=Plan1!$N$3,Plan1!$E$22,0)</f>
        <v>0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idden="1" x14ac:dyDescent="0.3">
      <c r="B23" s="8" t="s">
        <v>72</v>
      </c>
      <c r="C23" s="3">
        <f>IF(C12=Plan1!$N$3,Plan1!$D$22,0)</f>
        <v>0</v>
      </c>
      <c r="F23" s="3">
        <f>IF(F12=Plan1!$N$3,Plan1!$D$22,0)</f>
        <v>0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idden="1" x14ac:dyDescent="0.3">
      <c r="B24" s="8" t="s">
        <v>19</v>
      </c>
      <c r="C24" s="14">
        <f>IF(C12&gt;0,C21*C20+C23," ")</f>
        <v>5.5199999999999999E-2</v>
      </c>
      <c r="D24" s="3" t="s">
        <v>2</v>
      </c>
      <c r="F24" s="14">
        <f>IF(F12&gt;0,F21*F20+F23," ")</f>
        <v>5.5199999999999999E-2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idden="1" x14ac:dyDescent="0.3">
      <c r="B25" s="8" t="s">
        <v>18</v>
      </c>
      <c r="C25" s="15">
        <f>IF(C12&gt;0,C19*C21+C22," ")</f>
        <v>1.6740000000000002</v>
      </c>
      <c r="D25" s="3" t="s">
        <v>0</v>
      </c>
      <c r="F25" s="15">
        <f>IF(F12&gt;0,F19*F21+F22," ")</f>
        <v>1.6740000000000002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idden="1" x14ac:dyDescent="0.3">
      <c r="B27" s="8" t="s">
        <v>79</v>
      </c>
      <c r="C27" s="15">
        <f>IF(C12&gt;0,ROUND(C26*C14/2*C24*COS(PI()/180*C16),2)," ")</f>
        <v>15.44</v>
      </c>
      <c r="F27" s="15">
        <f>IF(F12&gt;0,ROUND(F26*F14/2*F24*COS(PI()/180*F16),2)," ")</f>
        <v>-18.72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0.33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idden="1" x14ac:dyDescent="0.3">
      <c r="B29" s="8" t="s">
        <v>11</v>
      </c>
      <c r="C29" s="15">
        <f>IF(C12&gt;0,(C25*C14^2)/(8*C15)," ")</f>
        <v>455.74650000000003</v>
      </c>
      <c r="D29" s="3" t="s">
        <v>1</v>
      </c>
      <c r="F29" s="15">
        <f>IF(F12&gt;0,(F25*F14^2)/(8*F15)," ")</f>
        <v>669.6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idden="1" x14ac:dyDescent="0.3">
      <c r="B30" s="8" t="s">
        <v>56</v>
      </c>
      <c r="C30" s="15">
        <f>IF(C12=0,"",ROUND(C29*COS(PI()/180*C16),2))</f>
        <v>455.75</v>
      </c>
      <c r="D30" s="16"/>
      <c r="E30" s="16"/>
      <c r="F30" s="15">
        <f>IF(F12=0,"",ROUND(F29*COS(PI()/180*F16),2))</f>
        <v>-669.5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11.69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idden="1" x14ac:dyDescent="0.3">
      <c r="B32" s="8" t="s">
        <v>58</v>
      </c>
      <c r="C32" s="15">
        <f>IF(C12&gt;0,SQRT(SUM(C30:L30)^2+SUM(C31:L31)^2)+SQRT(SUM(C27:L27)^2+SUM(C28:L28)^2),0)</f>
        <v>217.36598353196484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51" t="s">
        <v>85</v>
      </c>
      <c r="D33" s="51"/>
      <c r="E33" s="26"/>
      <c r="F33" s="27">
        <f>IF(C12=0,"",C32*C18/(C17*0.9-0.6-0.1))</f>
        <v>217.36598353196479</v>
      </c>
      <c r="G33" s="28" t="s">
        <v>1</v>
      </c>
      <c r="I33" s="16"/>
      <c r="L33" s="16"/>
      <c r="M33" s="6"/>
    </row>
    <row r="34" spans="2:13" ht="31.5" customHeight="1" x14ac:dyDescent="0.3">
      <c r="B34" s="11"/>
      <c r="C34" s="52"/>
      <c r="D34" s="52"/>
      <c r="E34" s="29"/>
      <c r="F34" s="30">
        <f>IF(C32=0,"",IF(SUM(C30:L30)=0,ROUNDUP(ATAN(SUM(C31:L31)/1)*180/PI(),0),IF(SUM(C30:L30)&lt;0,ATAN(SUM(C31:L31)/SUM(C30:L30))*180/PI()+180,ATAN(SUM(C31:L31)/SUM(C30:L30))*180/PI())))</f>
        <v>176.86960898482513</v>
      </c>
      <c r="G34" s="31" t="s">
        <v>5</v>
      </c>
      <c r="H34" s="12"/>
      <c r="I34" s="12"/>
      <c r="J34" s="12"/>
      <c r="K34" s="12"/>
      <c r="L34" s="12"/>
      <c r="M34" s="13"/>
    </row>
    <row r="35" spans="2:13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x14ac:dyDescent="0.3">
      <c r="B37" s="4"/>
      <c r="C37" s="48" t="s">
        <v>20</v>
      </c>
      <c r="D37" s="48"/>
      <c r="F37" s="48" t="s">
        <v>21</v>
      </c>
      <c r="G37" s="48"/>
      <c r="I37" s="48" t="s">
        <v>22</v>
      </c>
      <c r="J37" s="48"/>
      <c r="L37" s="48" t="s">
        <v>39</v>
      </c>
      <c r="M37" s="49"/>
    </row>
    <row r="38" spans="2:13" x14ac:dyDescent="0.3">
      <c r="B38" s="7" t="s">
        <v>66</v>
      </c>
      <c r="C38" s="50" t="s">
        <v>68</v>
      </c>
      <c r="D38" s="50"/>
      <c r="F38" s="50" t="s">
        <v>68</v>
      </c>
      <c r="G38" s="50"/>
      <c r="I38" s="60"/>
      <c r="J38" s="60"/>
      <c r="L38" s="50"/>
      <c r="M38" s="55"/>
    </row>
    <row r="39" spans="2:13" x14ac:dyDescent="0.3">
      <c r="B39" s="7" t="s">
        <v>53</v>
      </c>
      <c r="C39" s="50" t="s">
        <v>63</v>
      </c>
      <c r="D39" s="50"/>
      <c r="F39" s="50" t="s">
        <v>63</v>
      </c>
      <c r="G39" s="50"/>
      <c r="I39" s="60"/>
      <c r="J39" s="60"/>
      <c r="L39" s="50"/>
      <c r="M39" s="55"/>
    </row>
    <row r="40" spans="2:13" x14ac:dyDescent="0.3">
      <c r="B40" s="8" t="s">
        <v>3</v>
      </c>
      <c r="C40" s="21">
        <v>27</v>
      </c>
      <c r="D40" s="3" t="s">
        <v>2</v>
      </c>
      <c r="F40" s="21">
        <v>27</v>
      </c>
      <c r="G40" s="3" t="s">
        <v>2</v>
      </c>
      <c r="I40" s="44"/>
      <c r="J40" s="3" t="s">
        <v>2</v>
      </c>
      <c r="L40" s="21"/>
      <c r="M40" s="6" t="s">
        <v>2</v>
      </c>
    </row>
    <row r="41" spans="2:13" x14ac:dyDescent="0.3">
      <c r="B41" s="8" t="s">
        <v>4</v>
      </c>
      <c r="C41" s="47">
        <v>0.5</v>
      </c>
      <c r="D41" s="3" t="s">
        <v>2</v>
      </c>
      <c r="F41" s="47">
        <v>0.5</v>
      </c>
      <c r="G41" s="3" t="s">
        <v>2</v>
      </c>
      <c r="I41" s="45"/>
      <c r="J41" s="3" t="s">
        <v>2</v>
      </c>
      <c r="L41" s="20"/>
      <c r="M41" s="6" t="s">
        <v>2</v>
      </c>
    </row>
    <row r="42" spans="2:13" x14ac:dyDescent="0.3">
      <c r="B42" s="8" t="s">
        <v>59</v>
      </c>
      <c r="C42" s="20">
        <v>11</v>
      </c>
      <c r="D42" s="9" t="s">
        <v>5</v>
      </c>
      <c r="F42" s="20">
        <f>11+74+84</f>
        <v>169</v>
      </c>
      <c r="G42" s="9" t="s">
        <v>5</v>
      </c>
      <c r="I42" s="45"/>
      <c r="J42" s="9" t="s">
        <v>5</v>
      </c>
      <c r="L42" s="20"/>
      <c r="M42" s="10" t="s">
        <v>5</v>
      </c>
    </row>
    <row r="43" spans="2:13" x14ac:dyDescent="0.3">
      <c r="B43" s="8" t="s">
        <v>10</v>
      </c>
      <c r="C43" s="20">
        <v>11</v>
      </c>
      <c r="D43" s="3" t="s">
        <v>2</v>
      </c>
      <c r="M43" s="6"/>
    </row>
    <row r="44" spans="2:13" x14ac:dyDescent="0.3">
      <c r="B44" s="8" t="s">
        <v>9</v>
      </c>
      <c r="C44" s="20">
        <v>8.1999999999999993</v>
      </c>
      <c r="D44" s="3" t="s">
        <v>2</v>
      </c>
      <c r="M44" s="6"/>
    </row>
    <row r="45" spans="2:13" hidden="1" x14ac:dyDescent="0.3">
      <c r="B45" s="8" t="s">
        <v>54</v>
      </c>
      <c r="C45" s="3">
        <f>IF(C38&gt;0,VLOOKUP(C39,Plan1!$C$3:$E$34,3,0)," ")</f>
        <v>0.749</v>
      </c>
      <c r="D45" s="3" t="s">
        <v>0</v>
      </c>
      <c r="F45" s="3">
        <f>IF(F38&gt;0,VLOOKUP(F39,Plan1!$C$3:$E$34,3,0)," ")</f>
        <v>0.749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idden="1" x14ac:dyDescent="0.3">
      <c r="B46" s="8" t="s">
        <v>6</v>
      </c>
      <c r="C46" s="3">
        <f>IF(C38&gt;0,VLOOKUP(C39,Plan1!$C$3:$E$34,2,0)," ")</f>
        <v>2.5999999999999999E-2</v>
      </c>
      <c r="D46" s="3" t="s">
        <v>2</v>
      </c>
      <c r="F46" s="3">
        <f>IF(F38&gt;0,VLOOKUP(F39,Plan1!$C$3:$E$34,2,0)," ")</f>
        <v>2.5999999999999999E-2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idden="1" x14ac:dyDescent="0.3">
      <c r="B47" s="7" t="s">
        <v>55</v>
      </c>
      <c r="C47" s="3">
        <f>IF(C38&gt;0,VLOOKUP(C38,Plan1!$N$1:$O$7,2,0)," ")</f>
        <v>3</v>
      </c>
      <c r="F47" s="3">
        <f>IF(F38&gt;0,VLOOKUP(F38,Plan1!$N$1:$O$7,2,0)," ")</f>
        <v>3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idden="1" x14ac:dyDescent="0.3">
      <c r="B48" s="7" t="s">
        <v>71</v>
      </c>
      <c r="C48" s="3">
        <f>IF(C38=Plan1!$N$3,Plan1!$E$22,0)</f>
        <v>0.40699999999999997</v>
      </c>
      <c r="F48" s="3">
        <f>IF(F38=Plan1!$N$3,Plan1!$E$22,0)</f>
        <v>0.40699999999999997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idden="1" x14ac:dyDescent="0.3">
      <c r="B49" s="8" t="s">
        <v>72</v>
      </c>
      <c r="C49" s="3">
        <f>IF(C38=Plan1!$N$3,Plan1!$D$22,0)</f>
        <v>9.4999999999999998E-3</v>
      </c>
      <c r="F49" s="3">
        <f>IF(F38=Plan1!$N$3,Plan1!$D$22,0)</f>
        <v>9.4999999999999998E-3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idden="1" x14ac:dyDescent="0.3">
      <c r="B50" s="8" t="s">
        <v>19</v>
      </c>
      <c r="C50" s="14">
        <f>IF(C38&gt;0,C47*C46+C49," ")</f>
        <v>8.7499999999999994E-2</v>
      </c>
      <c r="D50" s="3" t="s">
        <v>2</v>
      </c>
      <c r="F50" s="14">
        <f>IF(F38&gt;0,F47*F46+F49," ")</f>
        <v>8.7499999999999994E-2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idden="1" x14ac:dyDescent="0.3">
      <c r="B51" s="8" t="s">
        <v>18</v>
      </c>
      <c r="C51" s="15">
        <f>IF(C38&gt;0,C45*C47+C48," ")</f>
        <v>2.6539999999999999</v>
      </c>
      <c r="D51" s="3" t="s">
        <v>0</v>
      </c>
      <c r="F51" s="15">
        <f>IF(F38&gt;0,F45*F47+F48," ")</f>
        <v>2.6539999999999999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idden="1" x14ac:dyDescent="0.3">
      <c r="B53" s="8" t="s">
        <v>79</v>
      </c>
      <c r="C53" s="15">
        <f>IF(C38&gt;0,ROUND(C52*C40/2*C50*COS(PI()/180*C42),2)," ")</f>
        <v>19.66</v>
      </c>
      <c r="F53" s="15">
        <f>IF(F38&gt;0,ROUND(F52*F40/2*F50*COS(PI()/180*F42),2)," ")</f>
        <v>-19.66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idden="1" x14ac:dyDescent="0.3">
      <c r="B54" s="8" t="s">
        <v>80</v>
      </c>
      <c r="C54" s="15">
        <f>IF(C38&gt;0,ROUND(C52*C40/2*C50*SIN(PI()/180*C42),2)," ")</f>
        <v>3.82</v>
      </c>
      <c r="F54" s="15">
        <f>IF(F38&gt;0,ROUND(F52*F40/2*F50*SIN(PI()/180*F42),2)," ")</f>
        <v>3.82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idden="1" x14ac:dyDescent="0.3">
      <c r="B55" s="8" t="s">
        <v>11</v>
      </c>
      <c r="C55" s="15">
        <f>IF(C38&gt;0,(C51*C40^2)/(8*C41)," ")</f>
        <v>483.69149999999996</v>
      </c>
      <c r="D55" s="3" t="s">
        <v>1</v>
      </c>
      <c r="F55" s="15">
        <f>IF(F38&gt;0,(F51*F40^2)/(8*F41)," ")</f>
        <v>483.69149999999996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idden="1" x14ac:dyDescent="0.3">
      <c r="B56" s="8" t="s">
        <v>56</v>
      </c>
      <c r="C56" s="15">
        <f>IF(C38=0,"",ROUND(C55*COS(PI()/180*C42),2))</f>
        <v>474.8</v>
      </c>
      <c r="D56" s="16"/>
      <c r="F56" s="15">
        <f>IF(F38=0,"",ROUND(F55*COS(PI()/180*F42),2))</f>
        <v>-474.8</v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idden="1" x14ac:dyDescent="0.3">
      <c r="B57" s="8" t="s">
        <v>57</v>
      </c>
      <c r="C57" s="15">
        <f>IF(C38=0,"",ROUND(C55*SIN(PI()/180*C42),2))</f>
        <v>92.29</v>
      </c>
      <c r="F57" s="15">
        <f>IF(F38=0,"",ROUND(F55*SIN(PI()/180*F42),2))</f>
        <v>92.29</v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idden="1" x14ac:dyDescent="0.3">
      <c r="B58" s="8" t="s">
        <v>81</v>
      </c>
      <c r="C58" s="15">
        <f>IF(C38&gt;0,SQRT(SUM(C56:L56)^2+SUM(C57:L57)^2)+SQRT(SUM(C53:L53)^2+SUM(C54:L54)^2),0)</f>
        <v>192.22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51" t="s">
        <v>86</v>
      </c>
      <c r="D59" s="51"/>
      <c r="E59" s="26"/>
      <c r="F59" s="27">
        <f>IF(C38=0,"",C58*C44/(C43*0.9-0.6-0.1))</f>
        <v>171.32652173913041</v>
      </c>
      <c r="G59" s="28" t="s">
        <v>1</v>
      </c>
      <c r="I59" s="16"/>
      <c r="L59" s="16"/>
      <c r="M59" s="6"/>
    </row>
    <row r="60" spans="2:13" ht="31.5" customHeight="1" x14ac:dyDescent="0.3">
      <c r="B60" s="11"/>
      <c r="C60" s="52"/>
      <c r="D60" s="52"/>
      <c r="E60" s="29"/>
      <c r="F60" s="30">
        <f>IF(C58=0,"",IF(SUM(C56:L56)=0,ROUNDUP(ATAN(SUM(C57:L57)/1)*180/PI(),0),IF(SUM(C56:L56)&lt;0,ATAN(SUM(C57:L57)/SUM(C56:L56))*180/PI()+180,ATAN(SUM(C57:L57)/SUM(C56:L56))*180/PI())))</f>
        <v>90</v>
      </c>
      <c r="G60" s="31" t="s">
        <v>5</v>
      </c>
      <c r="H60" s="12"/>
      <c r="I60" s="12"/>
      <c r="J60" s="12"/>
      <c r="K60" s="12"/>
      <c r="L60" s="12"/>
      <c r="M60" s="13"/>
    </row>
    <row r="61" spans="2:13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x14ac:dyDescent="0.3">
      <c r="B63" s="4"/>
      <c r="C63" s="48" t="s">
        <v>20</v>
      </c>
      <c r="D63" s="48"/>
      <c r="F63" s="48" t="s">
        <v>21</v>
      </c>
      <c r="G63" s="48"/>
      <c r="I63" s="48" t="s">
        <v>22</v>
      </c>
      <c r="J63" s="48"/>
      <c r="L63" s="48" t="s">
        <v>39</v>
      </c>
      <c r="M63" s="49"/>
    </row>
    <row r="64" spans="2:13" x14ac:dyDescent="0.3">
      <c r="B64" s="7" t="s">
        <v>66</v>
      </c>
      <c r="C64" s="50" t="s">
        <v>70</v>
      </c>
      <c r="D64" s="50"/>
      <c r="F64" s="50" t="s">
        <v>70</v>
      </c>
      <c r="G64" s="50"/>
      <c r="I64" s="50" t="s">
        <v>70</v>
      </c>
      <c r="J64" s="50"/>
      <c r="L64" s="50"/>
      <c r="M64" s="50"/>
    </row>
    <row r="65" spans="2:13" x14ac:dyDescent="0.3">
      <c r="B65" s="7" t="s">
        <v>53</v>
      </c>
      <c r="C65" s="50" t="s">
        <v>29</v>
      </c>
      <c r="D65" s="50"/>
      <c r="F65" s="50" t="s">
        <v>29</v>
      </c>
      <c r="G65" s="50"/>
      <c r="I65" s="50" t="s">
        <v>29</v>
      </c>
      <c r="J65" s="50"/>
      <c r="L65" s="50"/>
      <c r="M65" s="50"/>
    </row>
    <row r="66" spans="2:13" x14ac:dyDescent="0.3">
      <c r="B66" s="8" t="s">
        <v>3</v>
      </c>
      <c r="C66" s="21">
        <f>C14</f>
        <v>33</v>
      </c>
      <c r="D66" s="3" t="s">
        <v>2</v>
      </c>
      <c r="F66" s="21">
        <f>F14</f>
        <v>40</v>
      </c>
      <c r="G66" s="3" t="s">
        <v>2</v>
      </c>
      <c r="I66" s="21">
        <v>20</v>
      </c>
      <c r="J66" s="3" t="s">
        <v>2</v>
      </c>
      <c r="L66" s="21"/>
      <c r="M66" s="6" t="s">
        <v>2</v>
      </c>
    </row>
    <row r="67" spans="2:13" x14ac:dyDescent="0.3">
      <c r="B67" s="8" t="s">
        <v>4</v>
      </c>
      <c r="C67" s="21">
        <f t="shared" ref="C67:C68" si="0">C15</f>
        <v>0.5</v>
      </c>
      <c r="D67" s="3" t="s">
        <v>2</v>
      </c>
      <c r="F67" s="21">
        <f t="shared" ref="F67:F68" si="1">F15</f>
        <v>0.5</v>
      </c>
      <c r="G67" s="3" t="s">
        <v>2</v>
      </c>
      <c r="I67" s="47">
        <v>0.5</v>
      </c>
      <c r="J67" s="3" t="s">
        <v>2</v>
      </c>
      <c r="L67" s="47"/>
      <c r="M67" s="6" t="s">
        <v>2</v>
      </c>
    </row>
    <row r="68" spans="2:13" x14ac:dyDescent="0.3">
      <c r="B68" s="8" t="s">
        <v>59</v>
      </c>
      <c r="C68" s="21">
        <f t="shared" si="0"/>
        <v>0</v>
      </c>
      <c r="D68" s="9" t="s">
        <v>5</v>
      </c>
      <c r="F68" s="21">
        <f t="shared" si="1"/>
        <v>179</v>
      </c>
      <c r="G68" s="9" t="s">
        <v>5</v>
      </c>
      <c r="I68" s="20">
        <f>11+74</f>
        <v>85</v>
      </c>
      <c r="J68" s="9" t="s">
        <v>5</v>
      </c>
      <c r="L68" s="20"/>
      <c r="M68" s="10" t="s">
        <v>5</v>
      </c>
    </row>
    <row r="69" spans="2:13" x14ac:dyDescent="0.3">
      <c r="B69" s="8" t="s">
        <v>10</v>
      </c>
      <c r="C69" s="21">
        <f>C17</f>
        <v>11</v>
      </c>
      <c r="D69" s="3" t="s">
        <v>2</v>
      </c>
      <c r="M69" s="6"/>
    </row>
    <row r="70" spans="2:13" x14ac:dyDescent="0.3">
      <c r="B70" s="8" t="s">
        <v>9</v>
      </c>
      <c r="C70" s="21">
        <v>7</v>
      </c>
      <c r="D70" s="3" t="s">
        <v>2</v>
      </c>
      <c r="M70" s="6"/>
    </row>
    <row r="71" spans="2:13" hidden="1" x14ac:dyDescent="0.3">
      <c r="B71" s="8" t="s">
        <v>54</v>
      </c>
      <c r="C71" s="21">
        <f t="shared" ref="C71:C84" si="2">C19</f>
        <v>0.55800000000000005</v>
      </c>
      <c r="D71" s="3" t="s">
        <v>0</v>
      </c>
      <c r="F71" s="3">
        <f>IF(F64&gt;0,VLOOKUP(F65,Plan1!$C$3:$E$34,3,0)," ")</f>
        <v>1.008</v>
      </c>
      <c r="G71" s="3" t="s">
        <v>0</v>
      </c>
      <c r="I71" s="3">
        <f>IF(I64&gt;0,VLOOKUP(I65,Plan1!$C$3:$E$34,3,0)," ")</f>
        <v>1.008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idden="1" x14ac:dyDescent="0.3">
      <c r="B72" s="8" t="s">
        <v>6</v>
      </c>
      <c r="C72" s="21">
        <f t="shared" si="2"/>
        <v>1.84E-2</v>
      </c>
      <c r="D72" s="3" t="s">
        <v>2</v>
      </c>
      <c r="F72" s="3">
        <f>IF(F64&gt;0,VLOOKUP(F65,Plan1!$C$3:$E$34,2,0)," ")</f>
        <v>0.03</v>
      </c>
      <c r="G72" s="3" t="s">
        <v>2</v>
      </c>
      <c r="I72" s="3">
        <f>IF(I64&gt;0,VLOOKUP(I65,Plan1!$C$3:$E$34,2,0)," ")</f>
        <v>0.03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idden="1" x14ac:dyDescent="0.3">
      <c r="B73" s="7" t="s">
        <v>55</v>
      </c>
      <c r="C73" s="21">
        <f t="shared" si="2"/>
        <v>3</v>
      </c>
      <c r="F73" s="3">
        <f>IF(F64=0,"",VLOOKUP(F64,Plan1!$N$6:$O$8,2,FALSE))</f>
        <v>1</v>
      </c>
      <c r="I73" s="3">
        <f>IF(I64=0,"",VLOOKUP(I64,Plan1!$N$6:$O$8,2,FALSE))</f>
        <v>1</v>
      </c>
      <c r="L73" s="3" t="str">
        <f>IF(L64=0,"",VLOOKUP(L64,Plan1!$N$6:$O$8,2,FALSE))</f>
        <v/>
      </c>
      <c r="M73" s="6"/>
    </row>
    <row r="74" spans="2:13" hidden="1" x14ac:dyDescent="0.3">
      <c r="B74" s="7" t="s">
        <v>71</v>
      </c>
      <c r="C74" s="21">
        <f t="shared" si="2"/>
        <v>0</v>
      </c>
      <c r="F74" s="3">
        <f>IF(F64=0,"",IF(F64=Plan1!$N$8,0.407,0))</f>
        <v>0</v>
      </c>
      <c r="I74" s="3">
        <f>IF(I64=0,"",IF(I64=Plan1!$N$8,0.407,0))</f>
        <v>0</v>
      </c>
      <c r="L74" s="3" t="str">
        <f>IF(L64=0,"",IF(L64=Plan1!$N$8,0.407,0))</f>
        <v/>
      </c>
      <c r="M74" s="6"/>
    </row>
    <row r="75" spans="2:13" hidden="1" x14ac:dyDescent="0.3">
      <c r="B75" s="8" t="s">
        <v>72</v>
      </c>
      <c r="C75" s="21">
        <f t="shared" si="2"/>
        <v>0</v>
      </c>
      <c r="F75" s="3">
        <f>IF(F64=0,"",IF(F64=Plan1!$N$8,0.0095,0))</f>
        <v>0</v>
      </c>
      <c r="I75" s="3">
        <f>IF(I64=0,"",IF(I64=Plan1!$N$8,0.0095,0))</f>
        <v>0</v>
      </c>
      <c r="L75" s="3" t="str">
        <f>IF(L64=0,"",IF(L64=Plan1!$N$8,0.0095,0))</f>
        <v/>
      </c>
      <c r="M75" s="6"/>
    </row>
    <row r="76" spans="2:13" hidden="1" x14ac:dyDescent="0.3">
      <c r="B76" s="8" t="s">
        <v>19</v>
      </c>
      <c r="C76" s="21">
        <f t="shared" si="2"/>
        <v>5.5199999999999999E-2</v>
      </c>
      <c r="D76" s="3" t="s">
        <v>2</v>
      </c>
      <c r="F76" s="14">
        <f>IF(F64&gt;0,F73*F72+F75," ")</f>
        <v>0.03</v>
      </c>
      <c r="G76" s="3" t="s">
        <v>2</v>
      </c>
      <c r="I76" s="14">
        <f>IF(I64&gt;0,I73*I72+I75," ")</f>
        <v>0.03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idden="1" x14ac:dyDescent="0.3">
      <c r="B77" s="8" t="s">
        <v>18</v>
      </c>
      <c r="C77" s="21">
        <f t="shared" si="2"/>
        <v>1.6740000000000002</v>
      </c>
      <c r="D77" s="3" t="s">
        <v>0</v>
      </c>
      <c r="F77" s="15">
        <f>IF(F64&gt;0,F71*F73+F74," ")</f>
        <v>1.008</v>
      </c>
      <c r="G77" s="3" t="s">
        <v>0</v>
      </c>
      <c r="I77" s="15">
        <f>IF(I64&gt;0,I71*I73+I74," ")</f>
        <v>1.008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idden="1" x14ac:dyDescent="0.3">
      <c r="B78" s="8" t="s">
        <v>7</v>
      </c>
      <c r="C78" s="21">
        <f t="shared" si="2"/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idden="1" x14ac:dyDescent="0.3">
      <c r="B79" s="8" t="s">
        <v>79</v>
      </c>
      <c r="C79" s="21">
        <f t="shared" si="2"/>
        <v>15.44</v>
      </c>
      <c r="F79" s="15">
        <f>IF(F64&gt;0,ROUND(F78*F66/2*F76*COS(PI()/180*F68),2)," ")</f>
        <v>-10.17</v>
      </c>
      <c r="I79" s="15">
        <f>IF(I64&gt;0,ROUND(I78*I66/2*I76*COS(PI()/180*I68),2)," ")</f>
        <v>0.44</v>
      </c>
      <c r="L79" s="15" t="str">
        <f>IF(L64&gt;0,ROUND(L78*L66/2*L76*COS(PI()/180*L68),2)," ")</f>
        <v xml:space="preserve"> </v>
      </c>
      <c r="M79" s="6"/>
    </row>
    <row r="80" spans="2:13" hidden="1" x14ac:dyDescent="0.3">
      <c r="B80" s="8" t="s">
        <v>80</v>
      </c>
      <c r="C80" s="21">
        <f t="shared" si="2"/>
        <v>0</v>
      </c>
      <c r="F80" s="15">
        <f>IF(F64&gt;0,ROUND(F78*F66/2*F76*SIN(PI()/180*F68),2)," ")</f>
        <v>0.18</v>
      </c>
      <c r="I80" s="15">
        <f>IF(I64&gt;0,ROUND(I78*I66/2*I76*SIN(PI()/180*I68),2)," ")</f>
        <v>5.07</v>
      </c>
      <c r="L80" s="15" t="str">
        <f>IF(L64&gt;0,ROUND(L78*L66/2*L76*SIN(PI()/180*L68),2)," ")</f>
        <v xml:space="preserve"> </v>
      </c>
      <c r="M80" s="6"/>
    </row>
    <row r="81" spans="2:13" hidden="1" x14ac:dyDescent="0.3">
      <c r="B81" s="8" t="s">
        <v>11</v>
      </c>
      <c r="C81" s="21">
        <f t="shared" si="2"/>
        <v>455.74650000000003</v>
      </c>
      <c r="D81" s="3" t="s">
        <v>1</v>
      </c>
      <c r="F81" s="15">
        <f>IF(F64&gt;0,(F77*F66^2)/(8*F67)," ")</f>
        <v>403.2</v>
      </c>
      <c r="G81" s="3" t="s">
        <v>1</v>
      </c>
      <c r="I81" s="15">
        <f>IF(I64&gt;0,(I77*I66^2)/(8*I67)," ")</f>
        <v>100.8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idden="1" x14ac:dyDescent="0.3">
      <c r="B82" s="8" t="s">
        <v>56</v>
      </c>
      <c r="C82" s="21">
        <f t="shared" si="2"/>
        <v>455.75</v>
      </c>
      <c r="D82" s="16"/>
      <c r="F82" s="15">
        <f>IF(F64=0,"",ROUND(F81*COS(PI()/180*F68),2))</f>
        <v>-403.14</v>
      </c>
      <c r="G82" s="16"/>
      <c r="I82" s="15">
        <f>IF(I64=0,"",ROUND(I81*COS(PI()/180*I68),2))</f>
        <v>8.7899999999999991</v>
      </c>
      <c r="J82" s="16"/>
      <c r="L82" s="15" t="str">
        <f>IF(L64=0,"",ROUND(L81*COS(PI()/180*L68),2))</f>
        <v/>
      </c>
      <c r="M82" s="19"/>
    </row>
    <row r="83" spans="2:13" hidden="1" x14ac:dyDescent="0.3">
      <c r="B83" s="8" t="s">
        <v>57</v>
      </c>
      <c r="C83" s="21">
        <f t="shared" si="2"/>
        <v>0</v>
      </c>
      <c r="F83" s="15">
        <f>IF(F64=0,"",ROUND(F81*SIN(PI()/180*F68),2))</f>
        <v>7.04</v>
      </c>
      <c r="I83" s="15">
        <f>IF(I64=0,"",ROUND(I81*SIN(PI()/180*I68),2))</f>
        <v>100.42</v>
      </c>
      <c r="L83" s="15" t="str">
        <f>IF(L64=0,"",ROUND(L81*SIN(PI()/180*L68),2))</f>
        <v/>
      </c>
      <c r="M83" s="6"/>
    </row>
    <row r="84" spans="2:13" hidden="1" x14ac:dyDescent="0.3">
      <c r="B84" s="8" t="s">
        <v>60</v>
      </c>
      <c r="C84" s="21">
        <f t="shared" si="2"/>
        <v>217.36598353196484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51" t="s">
        <v>87</v>
      </c>
      <c r="D85" s="51"/>
      <c r="E85" s="26"/>
      <c r="F85" s="27">
        <f>IF(C64=0,"",C84*C70/(C69*0.9-0.6-0.1))</f>
        <v>165.38716138301669</v>
      </c>
      <c r="G85" s="28" t="s">
        <v>1</v>
      </c>
      <c r="I85" s="16"/>
      <c r="L85" s="16"/>
      <c r="M85" s="6"/>
    </row>
    <row r="86" spans="2:13" ht="31.5" customHeight="1" x14ac:dyDescent="0.3">
      <c r="B86" s="11"/>
      <c r="C86" s="52"/>
      <c r="D86" s="52"/>
      <c r="E86" s="29"/>
      <c r="F86" s="30">
        <f>IF(C84=0,"",IF(SUM(C82:L82)=0,ROUNDUP(ATAN(SUM(C83:L83)/1)*180/PI(),0),IF(SUM(C82:L82)&lt;0,ATAN(SUM(C83:L83)/SUM(C82:L82))*180/PI()+180,ATAN(SUM(C83:L83)/SUM(C82:L82))*180/PI())))</f>
        <v>60.257415541344542</v>
      </c>
      <c r="G86" s="31" t="s">
        <v>5</v>
      </c>
      <c r="H86" s="12"/>
      <c r="I86" s="12"/>
      <c r="J86" s="12"/>
      <c r="K86" s="12"/>
      <c r="L86" s="12"/>
      <c r="M86" s="13"/>
    </row>
    <row r="87" spans="2:13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x14ac:dyDescent="0.3">
      <c r="B89" s="4"/>
      <c r="C89" s="48" t="s">
        <v>20</v>
      </c>
      <c r="D89" s="48"/>
      <c r="F89" s="48" t="s">
        <v>21</v>
      </c>
      <c r="G89" s="48"/>
      <c r="I89" s="48" t="s">
        <v>22</v>
      </c>
      <c r="J89" s="48"/>
      <c r="L89" s="48" t="s">
        <v>39</v>
      </c>
      <c r="M89" s="49"/>
    </row>
    <row r="90" spans="2:13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x14ac:dyDescent="0.3">
      <c r="B91" s="8" t="s">
        <v>3</v>
      </c>
      <c r="C91" s="21"/>
      <c r="D91" s="3" t="s">
        <v>2</v>
      </c>
      <c r="F91" s="21"/>
      <c r="G91" s="3" t="s">
        <v>2</v>
      </c>
      <c r="I91" s="21"/>
      <c r="J91" s="3" t="s">
        <v>2</v>
      </c>
      <c r="L91" s="21"/>
      <c r="M91" s="6" t="s">
        <v>2</v>
      </c>
    </row>
    <row r="92" spans="2:13" x14ac:dyDescent="0.3">
      <c r="B92" s="8" t="s">
        <v>4</v>
      </c>
      <c r="C92" s="20"/>
      <c r="D92" s="3" t="s">
        <v>2</v>
      </c>
      <c r="F92" s="20"/>
      <c r="G92" s="3" t="s">
        <v>2</v>
      </c>
      <c r="I92" s="20"/>
      <c r="J92" s="3" t="s">
        <v>2</v>
      </c>
      <c r="L92" s="20"/>
      <c r="M92" s="6" t="s">
        <v>2</v>
      </c>
    </row>
    <row r="93" spans="2:13" x14ac:dyDescent="0.3">
      <c r="B93" s="8" t="s">
        <v>59</v>
      </c>
      <c r="C93" s="20"/>
      <c r="D93" s="9" t="s">
        <v>5</v>
      </c>
      <c r="F93" s="20"/>
      <c r="G93" s="9" t="s">
        <v>5</v>
      </c>
      <c r="I93" s="20"/>
      <c r="J93" s="9" t="s">
        <v>5</v>
      </c>
      <c r="L93" s="20"/>
      <c r="M93" s="10" t="s">
        <v>5</v>
      </c>
    </row>
    <row r="94" spans="2:13" x14ac:dyDescent="0.3">
      <c r="B94" s="8" t="s">
        <v>10</v>
      </c>
      <c r="C94" s="20"/>
      <c r="D94" s="3" t="s">
        <v>2</v>
      </c>
      <c r="M94" s="6"/>
    </row>
    <row r="95" spans="2:13" x14ac:dyDescent="0.3">
      <c r="B95" s="8" t="s">
        <v>9</v>
      </c>
      <c r="C95" s="20"/>
      <c r="M95" s="6"/>
    </row>
    <row r="96" spans="2:13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51" t="s">
        <v>88</v>
      </c>
      <c r="D109" s="51"/>
      <c r="E109" s="26"/>
      <c r="F109" s="27" t="str">
        <f>IF(C90=0,"",C108*C95/(C94*0.9-0.6-0.1))</f>
        <v/>
      </c>
      <c r="G109" s="28" t="s">
        <v>1</v>
      </c>
      <c r="H109" s="26"/>
      <c r="I109" s="16"/>
      <c r="L109" s="16" t="s">
        <v>89</v>
      </c>
      <c r="M109" s="6"/>
    </row>
    <row r="110" spans="2:13" ht="31.5" customHeight="1" x14ac:dyDescent="0.3">
      <c r="B110" s="24"/>
      <c r="C110" s="52"/>
      <c r="D110" s="52"/>
      <c r="E110" s="29"/>
      <c r="F110" s="30" t="str">
        <f>IF(C108=0,"",IF(SUM(C106:L106)=0,ROUNDUP(ATAN(SUM(C107:L107)/1)*180/PI(),0),IF(SUM(C106:L106)&lt;0,ATAN(SUM(C107:L107)/SUM(C106:L106))*180/PI()+180,ATAN(SUM(C107:L107)/SUM(C106:L106))*180/PI())))</f>
        <v/>
      </c>
      <c r="G110" s="31" t="s">
        <v>5</v>
      </c>
      <c r="H110" s="29"/>
      <c r="I110" s="12"/>
      <c r="J110" s="12"/>
      <c r="K110" s="12"/>
      <c r="L110" s="53" t="s">
        <v>97</v>
      </c>
      <c r="M110" s="54"/>
    </row>
    <row r="111" spans="2:13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x14ac:dyDescent="0.3">
      <c r="B113" s="4"/>
      <c r="C113" s="48" t="s">
        <v>20</v>
      </c>
      <c r="D113" s="48"/>
      <c r="F113" s="48" t="s">
        <v>21</v>
      </c>
      <c r="G113" s="48"/>
      <c r="I113" s="48" t="s">
        <v>22</v>
      </c>
      <c r="J113" s="48"/>
      <c r="L113" s="48" t="s">
        <v>39</v>
      </c>
      <c r="M113" s="49"/>
    </row>
    <row r="114" spans="2:13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x14ac:dyDescent="0.3">
      <c r="B115" s="7" t="s">
        <v>55</v>
      </c>
      <c r="C115" s="21"/>
      <c r="F115" s="21"/>
      <c r="I115" s="21"/>
      <c r="L115" s="21"/>
      <c r="M115" s="6"/>
    </row>
    <row r="116" spans="2:13" x14ac:dyDescent="0.3">
      <c r="B116" s="8" t="s">
        <v>3</v>
      </c>
      <c r="C116" s="20"/>
      <c r="D116" s="3" t="s">
        <v>2</v>
      </c>
      <c r="F116" s="20"/>
      <c r="G116" s="3" t="s">
        <v>2</v>
      </c>
      <c r="I116" s="20"/>
      <c r="J116" s="3" t="s">
        <v>2</v>
      </c>
      <c r="L116" s="20"/>
      <c r="M116" s="6" t="s">
        <v>2</v>
      </c>
    </row>
    <row r="117" spans="2:13" x14ac:dyDescent="0.3">
      <c r="B117" s="8" t="s">
        <v>4</v>
      </c>
      <c r="C117" s="20"/>
      <c r="D117" s="3" t="s">
        <v>2</v>
      </c>
      <c r="F117" s="20"/>
      <c r="G117" s="3" t="s">
        <v>2</v>
      </c>
      <c r="I117" s="20"/>
      <c r="J117" s="3" t="s">
        <v>2</v>
      </c>
      <c r="L117" s="20"/>
      <c r="M117" s="6" t="s">
        <v>2</v>
      </c>
    </row>
    <row r="118" spans="2:13" x14ac:dyDescent="0.3">
      <c r="B118" s="8" t="s">
        <v>59</v>
      </c>
      <c r="C118" s="20"/>
      <c r="D118" s="9" t="s">
        <v>5</v>
      </c>
      <c r="F118" s="20"/>
      <c r="G118" s="9" t="s">
        <v>5</v>
      </c>
      <c r="I118" s="20"/>
      <c r="J118" s="9" t="s">
        <v>5</v>
      </c>
      <c r="L118" s="20"/>
      <c r="M118" s="10" t="s">
        <v>5</v>
      </c>
    </row>
    <row r="119" spans="2:13" x14ac:dyDescent="0.3">
      <c r="B119" s="8" t="s">
        <v>10</v>
      </c>
      <c r="C119" s="20"/>
      <c r="D119" s="3" t="s">
        <v>2</v>
      </c>
      <c r="M119" s="6"/>
    </row>
    <row r="120" spans="2:13" x14ac:dyDescent="0.3">
      <c r="B120" s="8" t="s">
        <v>9</v>
      </c>
      <c r="C120" s="20"/>
      <c r="D120" s="3" t="s">
        <v>2</v>
      </c>
      <c r="M120" s="6"/>
    </row>
    <row r="121" spans="2:13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51" t="s">
        <v>91</v>
      </c>
      <c r="D132" s="51"/>
      <c r="E132" s="26"/>
      <c r="F132" s="27" t="str">
        <f>IF(C114=0,"",C131*C120/(C119*0.9-0.6-0.1))</f>
        <v/>
      </c>
      <c r="G132" s="28" t="s">
        <v>1</v>
      </c>
      <c r="I132" s="16"/>
      <c r="L132" s="16"/>
      <c r="M132" s="6"/>
    </row>
    <row r="133" spans="2:15" ht="31.5" customHeight="1" x14ac:dyDescent="0.3">
      <c r="B133" s="11"/>
      <c r="C133" s="52"/>
      <c r="D133" s="52"/>
      <c r="E133" s="29"/>
      <c r="F133" s="30" t="str">
        <f>IF(C131=0,"",IF(SUM(C129:L129)=0,ROUNDUP(ATAN(SUM(C130:L130)/1)*180/PI(),0),IF(SUM(C129:L129)&lt;0,ATAN(SUM(C130:L130)/SUM(C129:L129))*180/PI()+180,ATAN(SUM(C130:L130)/SUM(C129:L129))*180/PI())))</f>
        <v/>
      </c>
      <c r="G133" s="31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idden="1" x14ac:dyDescent="0.3">
      <c r="C137" s="3" t="s">
        <v>56</v>
      </c>
      <c r="D137" s="15">
        <f>IF(C12&gt;0,IF(F33=0,"",F33*COS(PI()/180*F34))," ")</f>
        <v>-217.04163983579005</v>
      </c>
      <c r="F137" s="15">
        <f>IF(C38&gt;0,IF(F59=0,"",F59*COS(PI()/180*F60)),0)</f>
        <v>1.0495021169678185E-14</v>
      </c>
      <c r="I137" s="15">
        <f>IF(C64&gt;0,IF(F85=0,"",F85*COS(PI()/180*F86)),0)</f>
        <v>82.049254200795716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idden="1" x14ac:dyDescent="0.3">
      <c r="C138" s="3" t="s">
        <v>57</v>
      </c>
      <c r="D138" s="15">
        <f>IF(C12&gt;0,IF(F33=0,"",F33*SIN(PI()/180*F34))," ")</f>
        <v>11.870019975112973</v>
      </c>
      <c r="F138" s="15">
        <f>IF(C38&gt;0,IF(F59=0,"",F59*SIN(PI()/180*F60)),0)</f>
        <v>171.32652173913041</v>
      </c>
      <c r="I138" s="15">
        <f>IF(C64&gt;0,IF(F85=0,"",F85*SIN(PI()/180*F86)),0)</f>
        <v>143.59955792210926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5" t="s">
        <v>84</v>
      </c>
      <c r="C140" s="38">
        <f>SQRT(SUM(D137:O137)^2+SUM(D138:O138)^2)+C149</f>
        <v>373.66974336344543</v>
      </c>
      <c r="D140" s="23" t="s">
        <v>1</v>
      </c>
    </row>
    <row r="141" spans="2:15" ht="25.8" hidden="1" x14ac:dyDescent="0.5">
      <c r="B141" s="25"/>
      <c r="C141" s="22">
        <f>IF(C140=0,"",IF(SUM(D137:O137)=0,ROUNDUP(ATAN(SUM(D138:O138)/1)*180/PI(),0),IF(SUM(D137:O137)&lt;0,ATAN(SUM(D138:O138)/SUM(D137:O137))*180/PI()+180,ATAN(SUM(D138:O138)/SUM(D137:O137))*180/PI())))</f>
        <v>112.44445896056718</v>
      </c>
      <c r="D141" s="23" t="s">
        <v>5</v>
      </c>
    </row>
    <row r="143" spans="2:15" hidden="1" x14ac:dyDescent="0.3">
      <c r="B143" s="3" t="str">
        <f>"TRAÇÃO TOTAL: "&amp;TEXT(C140,0)&amp;" daN"&amp;" "&amp;TEXT(C141,0)&amp;"°"</f>
        <v>TRAÇÃO TOTAL: 374 daN 112°</v>
      </c>
      <c r="C143" s="3" t="s">
        <v>92</v>
      </c>
    </row>
    <row r="144" spans="2:15" hidden="1" x14ac:dyDescent="0.3">
      <c r="B144" s="3" t="str">
        <f>"TRAÇÃO MT 1° NÍVEL (100 mm do topo): "&amp;TEXT(F33,0)&amp;" daN"&amp;" "&amp;TEXT(F34,0)&amp;"°"</f>
        <v>TRAÇÃO MT 1° NÍVEL (100 mm do topo): 217 daN 177°</v>
      </c>
      <c r="C144" s="3" t="s">
        <v>93</v>
      </c>
    </row>
    <row r="145" spans="2:3" hidden="1" x14ac:dyDescent="0.3">
      <c r="B145" s="3" t="str">
        <f>"TRAÇÃO MT 2° NÍVEL (100 mm do topo): "&amp;TEXT(F59,0)&amp;" daN"&amp;" "&amp;TEXT(F60,0)&amp;"°"</f>
        <v>TRAÇÃO MT 2° NÍVEL (100 mm do topo): 171 daN 90°</v>
      </c>
      <c r="C145" s="3" t="s">
        <v>94</v>
      </c>
    </row>
    <row r="146" spans="2:3" hidden="1" x14ac:dyDescent="0.3">
      <c r="B146" s="3" t="str">
        <f>"TRAÇÃO BT (100 mm do topo): "&amp;TEXT(F85,0)&amp;" daN"&amp;" "&amp;TEXT(F86,0)&amp;"°"</f>
        <v>TRAÇÃO BT (100 mm do topo): 165 daN 60°</v>
      </c>
      <c r="C146" s="3" t="s">
        <v>38</v>
      </c>
    </row>
    <row r="147" spans="2:3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idden="1" x14ac:dyDescent="0.3">
      <c r="B149" s="3" t="s">
        <v>100</v>
      </c>
      <c r="C149" s="3">
        <f>IF(C7=Plan1!C57,VLOOKUP('Ponto (1)'!C8,Plan1!D57:E68,2,FALSE),IF(C7=Plan1!C69,VLOOKUP('Ponto (1)'!C8,Plan1!D69:E72,2,FALSE),IF(C7=Plan1!C73,VLOOKUP('Ponto (1)'!C8,Plan1!D73:E76,2,FALSE),IF(C7=Plan1!C77,VLOOKUP('Ponto (1)'!C8,Plan1!D77:E77,2,FALSE),0))))</f>
        <v>20.09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K1:L1"/>
    <mergeCell ref="K3:L3"/>
    <mergeCell ref="H3:I3"/>
    <mergeCell ref="C3:F3"/>
    <mergeCell ref="C2:L2"/>
    <mergeCell ref="C39:D39"/>
    <mergeCell ref="F38:G38"/>
    <mergeCell ref="F39:G39"/>
    <mergeCell ref="E1:F1"/>
    <mergeCell ref="H1:I1"/>
    <mergeCell ref="B5:E5"/>
    <mergeCell ref="C37:D37"/>
    <mergeCell ref="F37:G37"/>
    <mergeCell ref="I37:J37"/>
    <mergeCell ref="L89:M89"/>
    <mergeCell ref="L65:M65"/>
    <mergeCell ref="B88:M88"/>
    <mergeCell ref="C7:D7"/>
    <mergeCell ref="C8:D8"/>
    <mergeCell ref="B10:M10"/>
    <mergeCell ref="B36:M36"/>
    <mergeCell ref="B62:M62"/>
    <mergeCell ref="L38:M38"/>
    <mergeCell ref="L39:M39"/>
    <mergeCell ref="I12:J12"/>
    <mergeCell ref="F13:G13"/>
    <mergeCell ref="I38:J38"/>
    <mergeCell ref="I39:J39"/>
    <mergeCell ref="C59:D60"/>
    <mergeCell ref="C38:D38"/>
    <mergeCell ref="I90:J90"/>
    <mergeCell ref="L90:M90"/>
    <mergeCell ref="C114:D114"/>
    <mergeCell ref="F114:G114"/>
    <mergeCell ref="I114:J114"/>
    <mergeCell ref="L114:M114"/>
    <mergeCell ref="C109:D110"/>
    <mergeCell ref="B112:M112"/>
    <mergeCell ref="C90:D90"/>
    <mergeCell ref="F90:G90"/>
    <mergeCell ref="C132:D133"/>
    <mergeCell ref="L110:M110"/>
    <mergeCell ref="C113:D113"/>
    <mergeCell ref="F113:G113"/>
    <mergeCell ref="I113:J113"/>
    <mergeCell ref="L113:M113"/>
    <mergeCell ref="C63:D63"/>
    <mergeCell ref="F63:G63"/>
    <mergeCell ref="I63:J63"/>
    <mergeCell ref="L63:M63"/>
    <mergeCell ref="L64:M64"/>
    <mergeCell ref="C64:D64"/>
    <mergeCell ref="F64:G64"/>
    <mergeCell ref="C89:D89"/>
    <mergeCell ref="F89:G89"/>
    <mergeCell ref="I64:J64"/>
    <mergeCell ref="I65:J65"/>
    <mergeCell ref="C85:D86"/>
    <mergeCell ref="C65:D65"/>
    <mergeCell ref="F65:G65"/>
    <mergeCell ref="I89:J89"/>
    <mergeCell ref="L37:M37"/>
    <mergeCell ref="C11:D11"/>
    <mergeCell ref="F11:G11"/>
    <mergeCell ref="I11:J11"/>
    <mergeCell ref="L11:M11"/>
    <mergeCell ref="I13:J13"/>
    <mergeCell ref="L12:M12"/>
    <mergeCell ref="L13:M13"/>
    <mergeCell ref="C33:D34"/>
    <mergeCell ref="C12:D12"/>
    <mergeCell ref="C13:D13"/>
    <mergeCell ref="F12:G12"/>
  </mergeCells>
  <dataValidations disablePrompts="1" count="6">
    <dataValidation type="list" allowBlank="1" showInputMessage="1" showErrorMessage="1" sqref="C39 I13 C13 F13 F39" xr:uid="{00000000-0002-0000-0200-000000000000}">
      <formula1>Tipo</formula1>
    </dataValidation>
    <dataValidation type="list" allowBlank="1" showInputMessage="1" showErrorMessage="1" sqref="L39" xr:uid="{00000000-0002-0000-0200-000003000000}">
      <formula1>Tipo8</formula1>
    </dataValidation>
    <dataValidation type="list" allowBlank="1" showInputMessage="1" showErrorMessage="1" sqref="C65 F65 I65 L65" xr:uid="{00000000-0002-0000-0200-000004000000}">
      <formula1>Tipo9</formula1>
    </dataValidation>
    <dataValidation type="list" allowBlank="1" showInputMessage="1" showErrorMessage="1" sqref="L13:M13" xr:uid="{00000000-0002-0000-0200-000007000000}">
      <formula1>Tipo2</formula1>
    </dataValidation>
    <dataValidation type="list" allowBlank="1" showInputMessage="1" showErrorMessage="1" sqref="I39:J39" xr:uid="{00000000-0002-0000-0200-00000A000000}">
      <formula1>Tipo7</formula1>
    </dataValidation>
    <dataValidation type="list" allowBlank="1" showInputMessage="1" showErrorMessage="1" sqref="C8" xr:uid="{00000000-0002-0000-0200-00000C000000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0000000-0002-0000-0200-00000D000000}">
          <x14:formula1>
            <xm:f>Plan4!$A$1:$C$1</xm:f>
          </x14:formula1>
          <xm:sqref>C38 L38 C12 I12 I38 F38 L12 F12</xm:sqref>
        </x14:dataValidation>
        <x14:dataValidation type="list" allowBlank="1" showInputMessage="1" showErrorMessage="1" xr:uid="{00000000-0002-0000-0200-00000E000000}">
          <x14:formula1>
            <xm:f>Plan1!$N$6:$N$8</xm:f>
          </x14:formula1>
          <xm:sqref>C64 I64 F64 L64</xm:sqref>
        </x14:dataValidation>
        <x14:dataValidation type="list" allowBlank="1" showInputMessage="1" showErrorMessage="1" xr:uid="{00000000-0002-0000-0200-00000F000000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00000000-0002-0000-0200-000010000000}">
          <x14:formula1>
            <xm:f>Plan4!$A$20:$D$20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1ADCB5F7E69D4C9E0FB2B4A0A4EFFD" ma:contentTypeVersion="10" ma:contentTypeDescription="Crie um novo documento." ma:contentTypeScope="" ma:versionID="75569ecb1037d510b9fa96ac2e63cba1">
  <xsd:schema xmlns:xsd="http://www.w3.org/2001/XMLSchema" xmlns:xs="http://www.w3.org/2001/XMLSchema" xmlns:p="http://schemas.microsoft.com/office/2006/metadata/properties" xmlns:ns2="10c1edb4-42da-440c-9275-32aed85b72bd" xmlns:ns3="b0804f12-4173-4a26-a53f-e617f1ff0ce3" targetNamespace="http://schemas.microsoft.com/office/2006/metadata/properties" ma:root="true" ma:fieldsID="33ff0942b93d858cc0950c0527f1a19c" ns2:_="" ns3:_="">
    <xsd:import namespace="10c1edb4-42da-440c-9275-32aed85b72bd"/>
    <xsd:import namespace="b0804f12-4173-4a26-a53f-e617f1ff0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1edb4-42da-440c-9275-32aed85b72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363085a-3678-43a0-9d68-3efb112886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04f12-4173-4a26-a53f-e617f1ff0c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e01b918-0651-4052-b621-956a6dd159d0}" ma:internalName="TaxCatchAll" ma:showField="CatchAllData" ma:web="b0804f12-4173-4a26-a53f-e617f1ff0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0c1edb4-42da-440c-9275-32aed85b72bd">
      <Terms xmlns="http://schemas.microsoft.com/office/infopath/2007/PartnerControls"/>
    </lcf76f155ced4ddcb4097134ff3c332f>
    <TaxCatchAll xmlns="b0804f12-4173-4a26-a53f-e617f1ff0ce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41A1B2-9123-434A-BDC1-4C73DF499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c1edb4-42da-440c-9275-32aed85b72bd"/>
    <ds:schemaRef ds:uri="b0804f12-4173-4a26-a53f-e617f1ff0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76CC16D-C91D-4FF7-B228-846D2FC7F535}">
  <ds:schemaRefs>
    <ds:schemaRef ds:uri="http://schemas.microsoft.com/office/2006/metadata/properties"/>
    <ds:schemaRef ds:uri="http://schemas.microsoft.com/office/infopath/2007/PartnerControls"/>
    <ds:schemaRef ds:uri="10c1edb4-42da-440c-9275-32aed85b72bd"/>
    <ds:schemaRef ds:uri="b0804f12-4173-4a26-a53f-e617f1ff0ce3"/>
  </ds:schemaRefs>
</ds:datastoreItem>
</file>

<file path=customXml/itemProps3.xml><?xml version="1.0" encoding="utf-8"?>
<ds:datastoreItem xmlns:ds="http://schemas.openxmlformats.org/officeDocument/2006/customXml" ds:itemID="{673BC388-7A71-4B5C-9EBC-4EB7397EE0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Plan4</vt:lpstr>
      <vt:lpstr>Ponto (1)</vt:lpstr>
      <vt:lpstr>'Ponto (1)'!Area_de_impressao</vt:lpstr>
    </vt:vector>
  </TitlesOfParts>
  <Company>Light Serviços de Eletricidade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garcia vilela 3153100</dc:creator>
  <cp:lastModifiedBy>Jonatas da Rocha Lampa</cp:lastModifiedBy>
  <cp:lastPrinted>2022-07-18T17:17:09Z</cp:lastPrinted>
  <dcterms:created xsi:type="dcterms:W3CDTF">2021-05-18T18:29:50Z</dcterms:created>
  <dcterms:modified xsi:type="dcterms:W3CDTF">2026-03-18T20:00:15Z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0x010100601ADCB5F7E69D4C9E0FB2B4A0A4EFFD</vt:lpwstr>
  </property>
</Properties>
</file>